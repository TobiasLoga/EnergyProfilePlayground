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L\Entwicklung\R\GitHub\myRepos\EnergyProfilePlayground\internal-test\Excel-Script-Tool\"/>
    </mc:Choice>
  </mc:AlternateContent>
  <xr:revisionPtr revIDLastSave="0" documentId="13_ncr:1_{6EE09AFC-88AE-49AD-B898-B94876A86B0D}" xr6:coauthVersionLast="36" xr6:coauthVersionMax="36" xr10:uidLastSave="{00000000-0000-0000-0000-000000000000}"/>
  <bookViews>
    <workbookView xWindow="936" yWindow="0" windowWidth="22260" windowHeight="12648" xr2:uid="{00000000-000D-0000-FFFF-FFFF00000000}"/>
  </bookViews>
  <sheets>
    <sheet name="Input-Variablen" sheetId="1" r:id="rId1"/>
    <sheet name="DF_BuildingTypeMatrix" sheetId="2" r:id="rId2"/>
    <sheet name="Matrix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6" i="1" l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AC14" i="2" l="1"/>
  <c r="AB14" i="2"/>
  <c r="AA14" i="2"/>
  <c r="Z14" i="2"/>
  <c r="AC13" i="2"/>
  <c r="AB13" i="2"/>
  <c r="AA13" i="2"/>
  <c r="Z13" i="2"/>
  <c r="AC12" i="2"/>
  <c r="AB12" i="2"/>
  <c r="AA12" i="2"/>
  <c r="Z12" i="2"/>
  <c r="AC11" i="2"/>
  <c r="AB11" i="2"/>
  <c r="AA11" i="2"/>
  <c r="Z11" i="2"/>
  <c r="AC10" i="2"/>
  <c r="AB10" i="2"/>
  <c r="AA10" i="2"/>
  <c r="Z10" i="2"/>
  <c r="AC9" i="2"/>
  <c r="AB9" i="2"/>
  <c r="AA9" i="2"/>
  <c r="Z9" i="2"/>
  <c r="AC8" i="2"/>
  <c r="AB8" i="2"/>
  <c r="AA8" i="2"/>
  <c r="Z8" i="2"/>
  <c r="AC7" i="2"/>
  <c r="AB7" i="2"/>
  <c r="AA7" i="2"/>
  <c r="Z7" i="2"/>
  <c r="AC6" i="2"/>
  <c r="AB6" i="2"/>
  <c r="AA6" i="2"/>
  <c r="Z6" i="2"/>
  <c r="AC5" i="2"/>
  <c r="AB5" i="2"/>
  <c r="AA5" i="2"/>
  <c r="Z5" i="2"/>
  <c r="AC4" i="2"/>
  <c r="AB4" i="2"/>
  <c r="AA4" i="2"/>
  <c r="Z4" i="2"/>
  <c r="AC3" i="2"/>
  <c r="AB3" i="2"/>
  <c r="AA3" i="2"/>
  <c r="Z3" i="2"/>
  <c r="AC2" i="2"/>
  <c r="AB2" i="2"/>
  <c r="AA2" i="2"/>
  <c r="Z2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H19" i="2"/>
  <c r="F19" i="2"/>
  <c r="E19" i="2"/>
  <c r="D19" i="2"/>
  <c r="C19" i="2"/>
  <c r="B19" i="2"/>
  <c r="H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H15" i="2"/>
  <c r="G15" i="2"/>
  <c r="F15" i="2"/>
  <c r="D15" i="2"/>
  <c r="C15" i="2"/>
  <c r="B15" i="2"/>
  <c r="H13" i="2"/>
  <c r="D13" i="2"/>
  <c r="B13" i="2"/>
  <c r="H12" i="2"/>
  <c r="D12" i="2"/>
  <c r="C12" i="2"/>
  <c r="B12" i="2"/>
  <c r="H11" i="2"/>
  <c r="D11" i="2"/>
  <c r="C11" i="2"/>
  <c r="B11" i="2"/>
  <c r="H10" i="2"/>
  <c r="D10" i="2"/>
  <c r="C10" i="2"/>
  <c r="B10" i="2"/>
  <c r="H9" i="2"/>
  <c r="D9" i="2"/>
  <c r="C9" i="2"/>
  <c r="B9" i="2"/>
  <c r="H8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H2" i="2"/>
  <c r="G2" i="2"/>
  <c r="F2" i="2"/>
  <c r="E2" i="2"/>
  <c r="D2" i="2"/>
  <c r="C2" i="2"/>
  <c r="B2" i="2"/>
  <c r="H1" i="2"/>
  <c r="G1" i="2"/>
  <c r="F1" i="2"/>
  <c r="E1" i="2"/>
  <c r="D1" i="2"/>
  <c r="C1" i="2"/>
  <c r="B1" i="2"/>
  <c r="A1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X13" i="2"/>
  <c r="W13" i="2"/>
  <c r="V13" i="2"/>
  <c r="U13" i="2"/>
  <c r="T13" i="2"/>
  <c r="S13" i="2"/>
  <c r="R13" i="2"/>
  <c r="Q13" i="2"/>
  <c r="P13" i="2"/>
  <c r="N13" i="2"/>
  <c r="M13" i="2"/>
  <c r="L13" i="2"/>
  <c r="K13" i="2"/>
  <c r="J13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AQ61" i="3"/>
  <c r="AP61" i="3"/>
  <c r="AO61" i="3"/>
  <c r="AN61" i="3"/>
  <c r="H61" i="3"/>
  <c r="G61" i="3"/>
  <c r="F61" i="3"/>
  <c r="E61" i="3"/>
  <c r="D61" i="3"/>
  <c r="C61" i="3"/>
  <c r="B61" i="3"/>
  <c r="AQ60" i="3"/>
  <c r="AP60" i="3"/>
  <c r="AO60" i="3"/>
  <c r="AN60" i="3"/>
  <c r="H60" i="3"/>
  <c r="G60" i="3"/>
  <c r="F60" i="3"/>
  <c r="E60" i="3"/>
  <c r="D60" i="3"/>
  <c r="C60" i="3"/>
  <c r="B60" i="3"/>
  <c r="AQ59" i="3"/>
  <c r="AP59" i="3"/>
  <c r="AO59" i="3"/>
  <c r="AN59" i="3"/>
  <c r="H59" i="3"/>
  <c r="G59" i="3"/>
  <c r="F59" i="3"/>
  <c r="E59" i="3"/>
  <c r="D59" i="3"/>
  <c r="C59" i="3"/>
  <c r="B59" i="3"/>
  <c r="AQ58" i="3"/>
  <c r="AP58" i="3"/>
  <c r="AO58" i="3"/>
  <c r="AN58" i="3"/>
  <c r="H58" i="3"/>
  <c r="G58" i="3"/>
  <c r="F58" i="3"/>
  <c r="E58" i="3"/>
  <c r="D58" i="3"/>
  <c r="C58" i="3"/>
  <c r="B58" i="3"/>
  <c r="AQ57" i="3"/>
  <c r="AP57" i="3"/>
  <c r="AO57" i="3"/>
  <c r="AN57" i="3"/>
  <c r="H57" i="3"/>
  <c r="G57" i="3"/>
  <c r="F57" i="3"/>
  <c r="E57" i="3"/>
  <c r="D57" i="3"/>
  <c r="C57" i="3"/>
  <c r="B57" i="3"/>
  <c r="AQ56" i="3"/>
  <c r="AP56" i="3"/>
  <c r="AO56" i="3"/>
  <c r="AN56" i="3"/>
  <c r="H56" i="3"/>
  <c r="G56" i="3"/>
  <c r="F56" i="3"/>
  <c r="E56" i="3"/>
  <c r="D56" i="3"/>
  <c r="C56" i="3"/>
  <c r="B56" i="3"/>
  <c r="AQ55" i="3"/>
  <c r="AP55" i="3"/>
  <c r="AO55" i="3"/>
  <c r="AN55" i="3"/>
  <c r="H55" i="3"/>
  <c r="G55" i="3"/>
  <c r="F55" i="3"/>
  <c r="E55" i="3"/>
  <c r="D55" i="3"/>
  <c r="C55" i="3"/>
  <c r="B55" i="3"/>
  <c r="AQ54" i="3"/>
  <c r="AP54" i="3"/>
  <c r="AO54" i="3"/>
  <c r="AN54" i="3"/>
  <c r="H54" i="3"/>
  <c r="G54" i="3"/>
  <c r="F54" i="3"/>
  <c r="E54" i="3"/>
  <c r="D54" i="3"/>
  <c r="C54" i="3"/>
  <c r="B54" i="3"/>
  <c r="AQ53" i="3"/>
  <c r="AP53" i="3"/>
  <c r="AO53" i="3"/>
  <c r="AN53" i="3"/>
  <c r="H53" i="3"/>
  <c r="G53" i="3"/>
  <c r="F53" i="3"/>
  <c r="E53" i="3"/>
  <c r="D53" i="3"/>
  <c r="C53" i="3"/>
  <c r="B53" i="3"/>
  <c r="AQ52" i="3"/>
  <c r="AP52" i="3"/>
  <c r="AO52" i="3"/>
  <c r="AN52" i="3"/>
  <c r="H52" i="3"/>
  <c r="G52" i="3"/>
  <c r="F52" i="3"/>
  <c r="E52" i="3"/>
  <c r="D52" i="3"/>
  <c r="C52" i="3"/>
  <c r="B52" i="3"/>
  <c r="AQ51" i="3"/>
  <c r="AP51" i="3"/>
  <c r="AO51" i="3"/>
  <c r="AN51" i="3"/>
  <c r="H51" i="3"/>
  <c r="G51" i="3"/>
  <c r="F51" i="3"/>
  <c r="E51" i="3"/>
  <c r="D51" i="3"/>
  <c r="C51" i="3"/>
  <c r="B51" i="3"/>
  <c r="AQ50" i="3"/>
  <c r="AP50" i="3"/>
  <c r="AO50" i="3"/>
  <c r="AN50" i="3"/>
  <c r="H50" i="3"/>
  <c r="G50" i="3"/>
  <c r="F50" i="3"/>
  <c r="E50" i="3"/>
  <c r="D50" i="3"/>
  <c r="C50" i="3"/>
  <c r="B50" i="3"/>
  <c r="AQ49" i="3"/>
  <c r="AP49" i="3"/>
  <c r="AO49" i="3"/>
  <c r="AN49" i="3"/>
  <c r="H49" i="3"/>
  <c r="G49" i="3"/>
  <c r="F49" i="3"/>
  <c r="E49" i="3"/>
  <c r="D49" i="3"/>
  <c r="C49" i="3"/>
  <c r="B49" i="3"/>
  <c r="AQ48" i="3"/>
  <c r="AP48" i="3"/>
  <c r="AO48" i="3"/>
  <c r="AN48" i="3"/>
  <c r="H48" i="3"/>
  <c r="G48" i="3"/>
  <c r="F48" i="3"/>
  <c r="E48" i="3"/>
  <c r="D48" i="3"/>
  <c r="C48" i="3"/>
  <c r="B48" i="3"/>
  <c r="AQ47" i="3"/>
  <c r="AP47" i="3"/>
  <c r="AO47" i="3"/>
  <c r="AN47" i="3"/>
  <c r="H47" i="3"/>
  <c r="G47" i="3"/>
  <c r="F47" i="3"/>
  <c r="E47" i="3"/>
  <c r="D47" i="3"/>
  <c r="C47" i="3"/>
  <c r="B47" i="3"/>
  <c r="AQ46" i="3"/>
  <c r="AP46" i="3"/>
  <c r="AO46" i="3"/>
  <c r="AN46" i="3"/>
  <c r="H46" i="3"/>
  <c r="G46" i="3"/>
  <c r="F46" i="3"/>
  <c r="E46" i="3"/>
  <c r="D46" i="3"/>
  <c r="C46" i="3"/>
  <c r="B46" i="3"/>
  <c r="AQ45" i="3"/>
  <c r="AP45" i="3"/>
  <c r="AO45" i="3"/>
  <c r="AN45" i="3"/>
  <c r="H45" i="3"/>
  <c r="G45" i="3"/>
  <c r="F45" i="3"/>
  <c r="E45" i="3"/>
  <c r="D45" i="3"/>
  <c r="C45" i="3"/>
  <c r="B45" i="3"/>
  <c r="AQ44" i="3"/>
  <c r="AP44" i="3"/>
  <c r="AO44" i="3"/>
  <c r="AN44" i="3"/>
  <c r="H44" i="3"/>
  <c r="G44" i="3"/>
  <c r="F44" i="3"/>
  <c r="E44" i="3"/>
  <c r="D44" i="3"/>
  <c r="C44" i="3"/>
  <c r="B44" i="3"/>
  <c r="AQ43" i="3"/>
  <c r="AP43" i="3"/>
  <c r="AO43" i="3"/>
  <c r="AN43" i="3"/>
  <c r="H43" i="3"/>
  <c r="G43" i="3"/>
  <c r="F43" i="3"/>
  <c r="E43" i="3"/>
  <c r="D43" i="3"/>
  <c r="C43" i="3"/>
  <c r="B43" i="3"/>
  <c r="AQ42" i="3"/>
  <c r="AP42" i="3"/>
  <c r="AO42" i="3"/>
  <c r="AN42" i="3"/>
  <c r="H42" i="3"/>
  <c r="G42" i="3"/>
  <c r="F42" i="3"/>
  <c r="E42" i="3"/>
  <c r="D42" i="3"/>
  <c r="C42" i="3"/>
  <c r="B42" i="3"/>
  <c r="AQ41" i="3"/>
  <c r="AP41" i="3"/>
  <c r="AO41" i="3"/>
  <c r="AN41" i="3"/>
  <c r="H41" i="3"/>
  <c r="G41" i="3"/>
  <c r="F41" i="3"/>
  <c r="E41" i="3"/>
  <c r="D41" i="3"/>
  <c r="C41" i="3"/>
  <c r="B41" i="3"/>
  <c r="AQ40" i="3"/>
  <c r="AP40" i="3"/>
  <c r="AO40" i="3"/>
  <c r="AN40" i="3"/>
  <c r="H40" i="3"/>
  <c r="G40" i="3"/>
  <c r="F40" i="3"/>
  <c r="E40" i="3"/>
  <c r="D40" i="3"/>
  <c r="C40" i="3"/>
  <c r="B40" i="3"/>
  <c r="AQ39" i="3"/>
  <c r="AP39" i="3"/>
  <c r="AO39" i="3"/>
  <c r="AN39" i="3"/>
  <c r="H39" i="3"/>
  <c r="G39" i="3"/>
  <c r="F39" i="3"/>
  <c r="E39" i="3"/>
  <c r="D39" i="3"/>
  <c r="C39" i="3"/>
  <c r="B39" i="3"/>
  <c r="AQ38" i="3"/>
  <c r="AP38" i="3"/>
  <c r="AO38" i="3"/>
  <c r="AN38" i="3"/>
  <c r="H38" i="3"/>
  <c r="G38" i="3"/>
  <c r="F38" i="3"/>
  <c r="E38" i="3"/>
  <c r="D38" i="3"/>
  <c r="C38" i="3"/>
  <c r="B38" i="3"/>
  <c r="AQ37" i="3"/>
  <c r="AP37" i="3"/>
  <c r="AO37" i="3"/>
  <c r="AN37" i="3"/>
  <c r="H37" i="3"/>
  <c r="G37" i="3"/>
  <c r="F37" i="3"/>
  <c r="E37" i="3"/>
  <c r="D37" i="3"/>
  <c r="C37" i="3"/>
  <c r="B37" i="3"/>
  <c r="AQ36" i="3"/>
  <c r="AP36" i="3"/>
  <c r="AO36" i="3"/>
  <c r="AN36" i="3"/>
  <c r="H36" i="3"/>
  <c r="G36" i="3"/>
  <c r="F36" i="3"/>
  <c r="E36" i="3"/>
  <c r="D36" i="3"/>
  <c r="C36" i="3"/>
  <c r="B36" i="3"/>
  <c r="AQ35" i="3"/>
  <c r="AP35" i="3"/>
  <c r="AO35" i="3"/>
  <c r="AN35" i="3"/>
  <c r="H35" i="3"/>
  <c r="G35" i="3"/>
  <c r="F35" i="3"/>
  <c r="E35" i="3"/>
  <c r="D35" i="3"/>
  <c r="C35" i="3"/>
  <c r="B35" i="3"/>
  <c r="AQ34" i="3"/>
  <c r="AP34" i="3"/>
  <c r="AO34" i="3"/>
  <c r="AN34" i="3"/>
  <c r="H34" i="3"/>
  <c r="G34" i="3"/>
  <c r="F34" i="3"/>
  <c r="E34" i="3"/>
  <c r="D34" i="3"/>
  <c r="C34" i="3"/>
  <c r="B34" i="3"/>
  <c r="AQ33" i="3"/>
  <c r="AP33" i="3"/>
  <c r="AO33" i="3"/>
  <c r="AN33" i="3"/>
  <c r="H33" i="3"/>
  <c r="G33" i="3"/>
  <c r="F33" i="3"/>
  <c r="E33" i="3"/>
  <c r="D33" i="3"/>
  <c r="C33" i="3"/>
  <c r="B33" i="3"/>
  <c r="AQ32" i="3"/>
  <c r="AP32" i="3"/>
  <c r="G32" i="3"/>
  <c r="F32" i="3"/>
  <c r="E32" i="3"/>
  <c r="D32" i="3"/>
  <c r="C32" i="3"/>
  <c r="B32" i="3"/>
  <c r="AQ31" i="3"/>
  <c r="AP31" i="3"/>
  <c r="G31" i="3"/>
  <c r="F31" i="3"/>
  <c r="AN31" i="3" s="1"/>
  <c r="E31" i="3"/>
  <c r="D31" i="3"/>
  <c r="C31" i="3"/>
  <c r="B31" i="3"/>
  <c r="G30" i="3"/>
  <c r="F30" i="3"/>
  <c r="E30" i="3"/>
  <c r="AP30" i="3" s="1"/>
  <c r="D30" i="3"/>
  <c r="C30" i="3"/>
  <c r="B30" i="3"/>
  <c r="G29" i="3"/>
  <c r="F29" i="3"/>
  <c r="E29" i="3"/>
  <c r="D29" i="3"/>
  <c r="C29" i="3"/>
  <c r="B29" i="3"/>
  <c r="G28" i="3"/>
  <c r="F28" i="3"/>
  <c r="E28" i="3"/>
  <c r="AP28" i="3" s="1"/>
  <c r="D28" i="3"/>
  <c r="C28" i="3"/>
  <c r="B28" i="3"/>
  <c r="AP27" i="3"/>
  <c r="H27" i="3"/>
  <c r="F27" i="3"/>
  <c r="E27" i="3"/>
  <c r="AN27" i="3" s="1"/>
  <c r="D27" i="3"/>
  <c r="C27" i="3"/>
  <c r="B27" i="3"/>
  <c r="H26" i="3"/>
  <c r="F26" i="3"/>
  <c r="E26" i="3"/>
  <c r="D26" i="3"/>
  <c r="C26" i="3"/>
  <c r="B26" i="3"/>
  <c r="AQ25" i="3"/>
  <c r="AP25" i="3"/>
  <c r="AN25" i="3"/>
  <c r="G25" i="3"/>
  <c r="F25" i="3"/>
  <c r="E25" i="3"/>
  <c r="D25" i="3"/>
  <c r="C25" i="3"/>
  <c r="B25" i="3"/>
  <c r="AQ24" i="3"/>
  <c r="AP24" i="3"/>
  <c r="G24" i="3"/>
  <c r="F24" i="3"/>
  <c r="E24" i="3"/>
  <c r="AN24" i="3" s="1"/>
  <c r="D24" i="3"/>
  <c r="C24" i="3"/>
  <c r="B24" i="3"/>
  <c r="AQ23" i="3"/>
  <c r="AP23" i="3"/>
  <c r="AH23" i="3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H23" i="3"/>
  <c r="G23" i="3"/>
  <c r="F23" i="3"/>
  <c r="D23" i="3"/>
  <c r="C23" i="3"/>
  <c r="B23" i="3"/>
  <c r="AJ22" i="3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J60" i="3" s="1"/>
  <c r="AJ61" i="3" s="1"/>
  <c r="AI22" i="3"/>
  <c r="AI23" i="3" s="1"/>
  <c r="AI24" i="3" s="1"/>
  <c r="AI25" i="3" s="1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 s="1"/>
  <c r="AH22" i="3"/>
  <c r="AG22" i="3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H22" i="3"/>
  <c r="D22" i="3"/>
  <c r="C22" i="3"/>
  <c r="B22" i="3"/>
  <c r="AJ21" i="3"/>
  <c r="AI21" i="3"/>
  <c r="AH21" i="3"/>
  <c r="AG21" i="3"/>
  <c r="H21" i="3"/>
  <c r="D21" i="3"/>
  <c r="C21" i="3"/>
  <c r="B21" i="3"/>
  <c r="AJ20" i="3"/>
  <c r="AI20" i="3"/>
  <c r="AH20" i="3"/>
  <c r="AG20" i="3"/>
  <c r="H20" i="3"/>
  <c r="D20" i="3"/>
  <c r="C20" i="3"/>
  <c r="B20" i="3"/>
  <c r="AJ19" i="3"/>
  <c r="AI19" i="3"/>
  <c r="AH19" i="3"/>
  <c r="AG19" i="3"/>
  <c r="H19" i="3"/>
  <c r="D19" i="3"/>
  <c r="C19" i="3"/>
  <c r="B19" i="3"/>
  <c r="AJ18" i="3"/>
  <c r="AI18" i="3"/>
  <c r="AH18" i="3"/>
  <c r="AG18" i="3"/>
  <c r="H18" i="3"/>
  <c r="D18" i="3"/>
  <c r="C18" i="3"/>
  <c r="B18" i="3"/>
  <c r="AJ17" i="3"/>
  <c r="AI17" i="3"/>
  <c r="AH17" i="3"/>
  <c r="AG17" i="3"/>
  <c r="H17" i="3"/>
  <c r="D17" i="3"/>
  <c r="C17" i="3"/>
  <c r="B17" i="3"/>
  <c r="AJ16" i="3"/>
  <c r="AI16" i="3"/>
  <c r="AH16" i="3"/>
  <c r="AG16" i="3"/>
  <c r="D16" i="3"/>
  <c r="C16" i="3"/>
  <c r="B16" i="3"/>
  <c r="AJ15" i="3"/>
  <c r="AI15" i="3"/>
  <c r="AH15" i="3"/>
  <c r="AG15" i="3"/>
  <c r="D15" i="3"/>
  <c r="C15" i="3"/>
  <c r="B15" i="3"/>
  <c r="AJ14" i="3"/>
  <c r="AI14" i="3"/>
  <c r="AH14" i="3"/>
  <c r="AG14" i="3"/>
  <c r="D14" i="3"/>
  <c r="C14" i="3"/>
  <c r="B14" i="3"/>
  <c r="AJ13" i="3"/>
  <c r="AI13" i="3"/>
  <c r="AH13" i="3"/>
  <c r="AG13" i="3"/>
  <c r="D13" i="3"/>
  <c r="C13" i="3"/>
  <c r="B13" i="3"/>
  <c r="AJ12" i="3"/>
  <c r="AI12" i="3"/>
  <c r="AH12" i="3"/>
  <c r="AG12" i="3"/>
  <c r="J12" i="3"/>
  <c r="J13" i="3" s="1"/>
  <c r="J14" i="3" s="1"/>
  <c r="I5" i="2" s="1"/>
  <c r="D12" i="3"/>
  <c r="C12" i="3"/>
  <c r="B12" i="3"/>
  <c r="AJ11" i="3"/>
  <c r="AI11" i="3"/>
  <c r="AH11" i="3"/>
  <c r="AG11" i="3"/>
  <c r="H11" i="3"/>
  <c r="G11" i="3"/>
  <c r="F11" i="3"/>
  <c r="E11" i="3"/>
  <c r="AN11" i="3" s="1"/>
  <c r="D11" i="3"/>
  <c r="C11" i="3"/>
  <c r="B11" i="3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9" i="2" l="1"/>
  <c r="A8" i="2"/>
  <c r="A2" i="2"/>
  <c r="A10" i="2"/>
  <c r="A3" i="2"/>
  <c r="A11" i="2"/>
  <c r="A4" i="2"/>
  <c r="A12" i="2"/>
  <c r="A5" i="2"/>
  <c r="A13" i="2"/>
  <c r="A6" i="2"/>
  <c r="A7" i="2"/>
  <c r="I3" i="2"/>
  <c r="I4" i="2"/>
  <c r="F12" i="3"/>
  <c r="F3" i="2" s="1"/>
  <c r="AQ11" i="3"/>
  <c r="AN28" i="3"/>
  <c r="E13" i="3"/>
  <c r="E4" i="2" s="1"/>
  <c r="AN26" i="3"/>
  <c r="AN32" i="3"/>
  <c r="AO11" i="3"/>
  <c r="AP11" i="3"/>
  <c r="AP26" i="3"/>
  <c r="AP29" i="3"/>
  <c r="AN29" i="3"/>
  <c r="AO23" i="3"/>
  <c r="H13" i="3"/>
  <c r="H4" i="2" s="1"/>
  <c r="G13" i="3"/>
  <c r="G4" i="2" s="1"/>
  <c r="F13" i="3"/>
  <c r="F4" i="2" s="1"/>
  <c r="H14" i="3"/>
  <c r="H5" i="2" s="1"/>
  <c r="G14" i="3"/>
  <c r="G5" i="2" s="1"/>
  <c r="F14" i="3"/>
  <c r="F5" i="2" s="1"/>
  <c r="E14" i="3"/>
  <c r="E5" i="2" s="1"/>
  <c r="J15" i="3"/>
  <c r="I6" i="2" s="1"/>
  <c r="E12" i="3"/>
  <c r="E3" i="2" s="1"/>
  <c r="G12" i="3"/>
  <c r="G3" i="2" s="1"/>
  <c r="H12" i="3"/>
  <c r="H3" i="2" s="1"/>
  <c r="AN30" i="3"/>
  <c r="AP13" i="3" l="1"/>
  <c r="AN13" i="3"/>
  <c r="AQ12" i="3"/>
  <c r="AO12" i="3"/>
  <c r="AP12" i="3"/>
  <c r="AN12" i="3"/>
  <c r="G15" i="3"/>
  <c r="G6" i="2" s="1"/>
  <c r="F15" i="3"/>
  <c r="F6" i="2" s="1"/>
  <c r="E15" i="3"/>
  <c r="E6" i="2" s="1"/>
  <c r="J16" i="3"/>
  <c r="I7" i="2" s="1"/>
  <c r="H15" i="3"/>
  <c r="H6" i="2" s="1"/>
  <c r="AP14" i="3"/>
  <c r="AN14" i="3"/>
  <c r="AQ13" i="3"/>
  <c r="AO13" i="3"/>
  <c r="AO14" i="3"/>
  <c r="AQ14" i="3"/>
  <c r="F16" i="3" l="1"/>
  <c r="F7" i="2" s="1"/>
  <c r="E16" i="3"/>
  <c r="E7" i="2" s="1"/>
  <c r="H16" i="3"/>
  <c r="H7" i="2" s="1"/>
  <c r="J17" i="3"/>
  <c r="I8" i="2" s="1"/>
  <c r="G16" i="3"/>
  <c r="G7" i="2" s="1"/>
  <c r="AN15" i="3"/>
  <c r="AP15" i="3"/>
  <c r="AO15" i="3"/>
  <c r="AQ15" i="3"/>
  <c r="E17" i="3" l="1"/>
  <c r="E8" i="2" s="1"/>
  <c r="J18" i="3"/>
  <c r="I9" i="2" s="1"/>
  <c r="G17" i="3"/>
  <c r="G8" i="2" s="1"/>
  <c r="F17" i="3"/>
  <c r="F8" i="2" s="1"/>
  <c r="AQ16" i="3"/>
  <c r="AO16" i="3"/>
  <c r="AN16" i="3"/>
  <c r="AP16" i="3"/>
  <c r="J19" i="3" l="1"/>
  <c r="I10" i="2" s="1"/>
  <c r="G18" i="3"/>
  <c r="G9" i="2" s="1"/>
  <c r="F18" i="3"/>
  <c r="F9" i="2" s="1"/>
  <c r="E18" i="3"/>
  <c r="E9" i="2" s="1"/>
  <c r="AP17" i="3"/>
  <c r="AN17" i="3"/>
  <c r="AO17" i="3"/>
  <c r="AQ17" i="3"/>
  <c r="AN18" i="3" l="1"/>
  <c r="AP18" i="3"/>
  <c r="AQ18" i="3"/>
  <c r="AO18" i="3"/>
  <c r="J20" i="3"/>
  <c r="I11" i="2" s="1"/>
  <c r="F19" i="3"/>
  <c r="F10" i="2" s="1"/>
  <c r="E19" i="3"/>
  <c r="E10" i="2" s="1"/>
  <c r="G19" i="3"/>
  <c r="G10" i="2" s="1"/>
  <c r="AQ19" i="3" l="1"/>
  <c r="AO19" i="3"/>
  <c r="AP19" i="3"/>
  <c r="AN19" i="3"/>
  <c r="J21" i="3"/>
  <c r="I12" i="2" s="1"/>
  <c r="G20" i="3"/>
  <c r="G11" i="2" s="1"/>
  <c r="E20" i="3"/>
  <c r="E11" i="2" s="1"/>
  <c r="F20" i="3"/>
  <c r="F11" i="2" s="1"/>
  <c r="G21" i="3" l="1"/>
  <c r="G12" i="2" s="1"/>
  <c r="F21" i="3"/>
  <c r="F12" i="2" s="1"/>
  <c r="E21" i="3"/>
  <c r="E12" i="2" s="1"/>
  <c r="J22" i="3"/>
  <c r="I13" i="2" s="1"/>
  <c r="AP20" i="3"/>
  <c r="AN20" i="3"/>
  <c r="AQ20" i="3"/>
  <c r="AO20" i="3"/>
  <c r="AQ21" i="3" l="1"/>
  <c r="AO21" i="3"/>
  <c r="AP21" i="3"/>
  <c r="AN21" i="3"/>
  <c r="G22" i="3"/>
  <c r="G13" i="2" s="1"/>
  <c r="F22" i="3"/>
  <c r="F13" i="2" s="1"/>
  <c r="E22" i="3"/>
  <c r="E13" i="2" s="1"/>
  <c r="J23" i="3"/>
  <c r="I15" i="2" s="1"/>
  <c r="E23" i="3" l="1"/>
  <c r="J24" i="3"/>
  <c r="I16" i="2" s="1"/>
  <c r="AP22" i="3"/>
  <c r="AP10" i="3" s="1"/>
  <c r="AN22" i="3"/>
  <c r="AO22" i="3"/>
  <c r="AQ22" i="3"/>
  <c r="AN23" i="3" l="1"/>
  <c r="AN10" i="3" s="1"/>
  <c r="E15" i="2"/>
  <c r="H24" i="3"/>
  <c r="J25" i="3"/>
  <c r="I17" i="2" s="1"/>
  <c r="AO24" i="3" l="1"/>
  <c r="H16" i="2"/>
  <c r="J26" i="3"/>
  <c r="I18" i="2" s="1"/>
  <c r="H25" i="3"/>
  <c r="AO25" i="3" l="1"/>
  <c r="H17" i="2"/>
  <c r="J27" i="3"/>
  <c r="I19" i="2" s="1"/>
  <c r="G26" i="3"/>
  <c r="G18" i="2" s="1"/>
  <c r="AQ26" i="3" l="1"/>
  <c r="AO26" i="3"/>
  <c r="J28" i="3"/>
  <c r="I20" i="2" s="1"/>
  <c r="G27" i="3"/>
  <c r="G19" i="2" s="1"/>
  <c r="AQ27" i="3" l="1"/>
  <c r="AO27" i="3"/>
  <c r="J29" i="3"/>
  <c r="I21" i="2" s="1"/>
  <c r="H28" i="3"/>
  <c r="H20" i="2" s="1"/>
  <c r="AQ28" i="3" l="1"/>
  <c r="AO28" i="3"/>
  <c r="H29" i="3"/>
  <c r="H21" i="2" s="1"/>
  <c r="J30" i="3"/>
  <c r="I22" i="2" s="1"/>
  <c r="H30" i="3" l="1"/>
  <c r="H22" i="2" s="1"/>
  <c r="J31" i="3"/>
  <c r="I23" i="2" s="1"/>
  <c r="AQ29" i="3"/>
  <c r="AO29" i="3"/>
  <c r="J32" i="3" l="1"/>
  <c r="I24" i="2" s="1"/>
  <c r="H31" i="3"/>
  <c r="AQ30" i="3"/>
  <c r="AQ10" i="3" s="1"/>
  <c r="AO30" i="3"/>
  <c r="AO31" i="3" l="1"/>
  <c r="H23" i="2"/>
  <c r="H32" i="3"/>
  <c r="J33" i="3"/>
  <c r="AO32" i="3" l="1"/>
  <c r="AO10" i="3" s="1"/>
  <c r="H24" i="2"/>
  <c r="J34" i="3"/>
  <c r="J35" i="3" l="1"/>
  <c r="J36" i="3" l="1"/>
  <c r="J37" i="3" l="1"/>
  <c r="J38" i="3" l="1"/>
  <c r="J39" i="3" l="1"/>
  <c r="J40" i="3" l="1"/>
  <c r="J41" i="3" l="1"/>
  <c r="J42" i="3" l="1"/>
  <c r="J43" i="3" l="1"/>
  <c r="J44" i="3" l="1"/>
  <c r="J45" i="3" l="1"/>
  <c r="J46" i="3" l="1"/>
  <c r="J47" i="3" l="1"/>
  <c r="J48" i="3" l="1"/>
  <c r="J49" i="3" l="1"/>
  <c r="J50" i="3" l="1"/>
  <c r="J51" i="3" l="1"/>
  <c r="O362" i="1"/>
  <c r="H362" i="1"/>
  <c r="O361" i="1"/>
  <c r="H361" i="1"/>
  <c r="O360" i="1"/>
  <c r="H360" i="1"/>
  <c r="O359" i="1"/>
  <c r="H359" i="1"/>
  <c r="O358" i="1"/>
  <c r="H358" i="1"/>
  <c r="O357" i="1"/>
  <c r="H357" i="1"/>
  <c r="O356" i="1"/>
  <c r="H356" i="1"/>
  <c r="O355" i="1"/>
  <c r="H355" i="1"/>
  <c r="O354" i="1"/>
  <c r="H354" i="1"/>
  <c r="O353" i="1"/>
  <c r="H353" i="1"/>
  <c r="O352" i="1"/>
  <c r="H352" i="1"/>
  <c r="O351" i="1"/>
  <c r="H351" i="1"/>
  <c r="O350" i="1"/>
  <c r="H350" i="1"/>
  <c r="O349" i="1"/>
  <c r="H349" i="1"/>
  <c r="O348" i="1"/>
  <c r="H348" i="1"/>
  <c r="O347" i="1"/>
  <c r="H347" i="1"/>
  <c r="O346" i="1"/>
  <c r="H346" i="1"/>
  <c r="O345" i="1"/>
  <c r="H345" i="1"/>
  <c r="O344" i="1"/>
  <c r="H344" i="1"/>
  <c r="O343" i="1"/>
  <c r="H343" i="1"/>
  <c r="O342" i="1"/>
  <c r="H342" i="1"/>
  <c r="O341" i="1"/>
  <c r="H341" i="1"/>
  <c r="O340" i="1"/>
  <c r="H340" i="1"/>
  <c r="O339" i="1"/>
  <c r="H339" i="1"/>
  <c r="O338" i="1"/>
  <c r="H338" i="1"/>
  <c r="O337" i="1"/>
  <c r="H337" i="1"/>
  <c r="O336" i="1"/>
  <c r="H336" i="1"/>
  <c r="O335" i="1"/>
  <c r="H335" i="1"/>
  <c r="O334" i="1"/>
  <c r="H334" i="1"/>
  <c r="O333" i="1"/>
  <c r="H333" i="1"/>
  <c r="O332" i="1"/>
  <c r="H332" i="1"/>
  <c r="O331" i="1"/>
  <c r="H331" i="1"/>
  <c r="O330" i="1"/>
  <c r="H330" i="1"/>
  <c r="O329" i="1"/>
  <c r="H329" i="1"/>
  <c r="O328" i="1"/>
  <c r="H328" i="1"/>
  <c r="O327" i="1"/>
  <c r="H327" i="1"/>
  <c r="O326" i="1"/>
  <c r="H326" i="1"/>
  <c r="O325" i="1"/>
  <c r="H325" i="1"/>
  <c r="O284" i="1"/>
  <c r="H284" i="1"/>
  <c r="O283" i="1"/>
  <c r="H283" i="1"/>
  <c r="O282" i="1"/>
  <c r="H282" i="1"/>
  <c r="O281" i="1"/>
  <c r="H281" i="1"/>
  <c r="O280" i="1"/>
  <c r="H280" i="1"/>
  <c r="O279" i="1"/>
  <c r="H279" i="1"/>
  <c r="O278" i="1"/>
  <c r="H278" i="1"/>
  <c r="O277" i="1"/>
  <c r="H277" i="1"/>
  <c r="O276" i="1"/>
  <c r="H276" i="1"/>
  <c r="O275" i="1"/>
  <c r="H275" i="1"/>
  <c r="O274" i="1"/>
  <c r="H274" i="1"/>
  <c r="O273" i="1"/>
  <c r="H273" i="1"/>
  <c r="O272" i="1"/>
  <c r="H272" i="1"/>
  <c r="O271" i="1"/>
  <c r="H271" i="1"/>
  <c r="O270" i="1"/>
  <c r="H270" i="1"/>
  <c r="O269" i="1"/>
  <c r="H269" i="1"/>
  <c r="O268" i="1"/>
  <c r="H268" i="1"/>
  <c r="O267" i="1"/>
  <c r="H267" i="1"/>
  <c r="O266" i="1"/>
  <c r="H266" i="1"/>
  <c r="O265" i="1"/>
  <c r="H265" i="1"/>
  <c r="O264" i="1"/>
  <c r="H264" i="1"/>
  <c r="O263" i="1"/>
  <c r="H263" i="1"/>
  <c r="O262" i="1"/>
  <c r="H262" i="1"/>
  <c r="O261" i="1"/>
  <c r="H261" i="1"/>
  <c r="O260" i="1"/>
  <c r="H260" i="1"/>
  <c r="O259" i="1"/>
  <c r="H259" i="1"/>
  <c r="O258" i="1"/>
  <c r="H258" i="1"/>
  <c r="O257" i="1"/>
  <c r="H257" i="1"/>
  <c r="O256" i="1"/>
  <c r="H256" i="1"/>
  <c r="O255" i="1"/>
  <c r="H255" i="1"/>
  <c r="O254" i="1"/>
  <c r="H254" i="1"/>
  <c r="O253" i="1"/>
  <c r="H253" i="1"/>
  <c r="O252" i="1"/>
  <c r="H252" i="1"/>
  <c r="O251" i="1"/>
  <c r="H251" i="1"/>
  <c r="O250" i="1"/>
  <c r="H250" i="1"/>
  <c r="O249" i="1"/>
  <c r="H249" i="1"/>
  <c r="O248" i="1"/>
  <c r="H248" i="1"/>
  <c r="O247" i="1"/>
  <c r="H247" i="1"/>
  <c r="O246" i="1"/>
  <c r="H246" i="1"/>
  <c r="O245" i="1"/>
  <c r="H245" i="1"/>
  <c r="O244" i="1"/>
  <c r="H244" i="1"/>
  <c r="O243" i="1"/>
  <c r="H243" i="1"/>
  <c r="O242" i="1"/>
  <c r="H242" i="1"/>
  <c r="O241" i="1"/>
  <c r="H241" i="1"/>
  <c r="O240" i="1"/>
  <c r="H240" i="1"/>
  <c r="O239" i="1"/>
  <c r="H239" i="1"/>
  <c r="O238" i="1"/>
  <c r="H238" i="1"/>
  <c r="O237" i="1"/>
  <c r="H237" i="1"/>
  <c r="O236" i="1"/>
  <c r="H236" i="1"/>
  <c r="O235" i="1"/>
  <c r="H235" i="1"/>
  <c r="O234" i="1"/>
  <c r="H234" i="1"/>
  <c r="O233" i="1"/>
  <c r="H233" i="1"/>
  <c r="O232" i="1"/>
  <c r="H232" i="1"/>
  <c r="O231" i="1"/>
  <c r="H231" i="1"/>
  <c r="O230" i="1"/>
  <c r="H230" i="1"/>
  <c r="O229" i="1"/>
  <c r="H229" i="1"/>
  <c r="O228" i="1"/>
  <c r="H228" i="1"/>
  <c r="O227" i="1"/>
  <c r="H227" i="1"/>
  <c r="O226" i="1"/>
  <c r="H226" i="1"/>
  <c r="O225" i="1"/>
  <c r="H225" i="1"/>
  <c r="O224" i="1"/>
  <c r="H224" i="1"/>
  <c r="O223" i="1"/>
  <c r="H223" i="1"/>
  <c r="O222" i="1"/>
  <c r="H222" i="1"/>
  <c r="O221" i="1"/>
  <c r="H221" i="1"/>
  <c r="O220" i="1"/>
  <c r="H220" i="1"/>
  <c r="O219" i="1"/>
  <c r="H219" i="1"/>
  <c r="O218" i="1"/>
  <c r="H218" i="1"/>
  <c r="O217" i="1"/>
  <c r="H217" i="1"/>
  <c r="O216" i="1"/>
  <c r="H216" i="1"/>
  <c r="O215" i="1"/>
  <c r="H215" i="1"/>
  <c r="O214" i="1"/>
  <c r="H214" i="1"/>
  <c r="O213" i="1"/>
  <c r="H213" i="1"/>
  <c r="O212" i="1"/>
  <c r="H212" i="1"/>
  <c r="O211" i="1"/>
  <c r="H211" i="1"/>
  <c r="O210" i="1"/>
  <c r="H210" i="1"/>
  <c r="O209" i="1"/>
  <c r="H209" i="1"/>
  <c r="O208" i="1"/>
  <c r="H208" i="1"/>
  <c r="O207" i="1"/>
  <c r="H207" i="1"/>
  <c r="O206" i="1"/>
  <c r="H206" i="1"/>
  <c r="O187" i="1"/>
  <c r="O186" i="1"/>
  <c r="O185" i="1"/>
  <c r="O184" i="1"/>
  <c r="O183" i="1"/>
  <c r="O181" i="1"/>
  <c r="O180" i="1"/>
  <c r="O179" i="1"/>
  <c r="O177" i="1"/>
  <c r="O176" i="1"/>
  <c r="O175" i="1"/>
  <c r="O174" i="1"/>
  <c r="O173" i="1"/>
  <c r="O171" i="1"/>
  <c r="O170" i="1"/>
  <c r="O169" i="1"/>
  <c r="O168" i="1"/>
  <c r="O166" i="1"/>
  <c r="O165" i="1"/>
  <c r="O164" i="1"/>
  <c r="O16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7" i="1"/>
  <c r="H186" i="1"/>
  <c r="H185" i="1"/>
  <c r="H184" i="1"/>
  <c r="H183" i="1"/>
  <c r="H181" i="1"/>
  <c r="H180" i="1"/>
  <c r="H179" i="1"/>
  <c r="H177" i="1"/>
  <c r="H176" i="1"/>
  <c r="H175" i="1"/>
  <c r="H174" i="1"/>
  <c r="H173" i="1"/>
  <c r="H171" i="1"/>
  <c r="H170" i="1"/>
  <c r="H169" i="1"/>
  <c r="H168" i="1"/>
  <c r="H166" i="1"/>
  <c r="H165" i="1"/>
  <c r="H164" i="1"/>
  <c r="H163" i="1"/>
  <c r="H14" i="1"/>
  <c r="H13" i="1"/>
  <c r="H12" i="1"/>
  <c r="H11" i="1"/>
  <c r="H10" i="1"/>
  <c r="H9" i="1"/>
  <c r="H8" i="1"/>
  <c r="H25" i="1"/>
  <c r="H24" i="1"/>
  <c r="H23" i="1"/>
  <c r="H22" i="1"/>
  <c r="H21" i="1"/>
  <c r="H20" i="1"/>
  <c r="H19" i="1"/>
  <c r="H18" i="1"/>
  <c r="H17" i="1"/>
  <c r="H16" i="1"/>
  <c r="H15" i="1"/>
  <c r="H7" i="1"/>
  <c r="H6" i="1"/>
  <c r="H5" i="1"/>
  <c r="J52" i="3" l="1"/>
  <c r="D130" i="1"/>
  <c r="H130" i="1" s="1"/>
  <c r="D129" i="1"/>
  <c r="D128" i="1"/>
  <c r="D127" i="1"/>
  <c r="D126" i="1"/>
  <c r="D125" i="1"/>
  <c r="H125" i="1" s="1"/>
  <c r="D124" i="1"/>
  <c r="H124" i="1" s="1"/>
  <c r="D123" i="1"/>
  <c r="H123" i="1" s="1"/>
  <c r="D122" i="1"/>
  <c r="H122" i="1" s="1"/>
  <c r="D121" i="1"/>
  <c r="D120" i="1"/>
  <c r="H120" i="1" s="1"/>
  <c r="D119" i="1"/>
  <c r="H119" i="1" s="1"/>
  <c r="H129" i="1"/>
  <c r="H128" i="1"/>
  <c r="H127" i="1"/>
  <c r="H126" i="1"/>
  <c r="H121" i="1"/>
  <c r="H146" i="1"/>
  <c r="H145" i="1"/>
  <c r="H144" i="1"/>
  <c r="H143" i="1"/>
  <c r="H142" i="1"/>
  <c r="H141" i="1"/>
  <c r="H140" i="1"/>
  <c r="H139" i="1"/>
  <c r="H157" i="1"/>
  <c r="H156" i="1"/>
  <c r="H155" i="1"/>
  <c r="H15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J53" i="3" l="1"/>
  <c r="J54" i="3" l="1"/>
  <c r="J55" i="3" l="1"/>
  <c r="J56" i="3" l="1"/>
  <c r="J57" i="3" l="1"/>
  <c r="J58" i="3" l="1"/>
  <c r="J59" i="3" l="1"/>
  <c r="J60" i="3" l="1"/>
  <c r="J61" i="3" l="1"/>
</calcChain>
</file>

<file path=xl/sharedStrings.xml><?xml version="1.0" encoding="utf-8"?>
<sst xmlns="http://schemas.openxmlformats.org/spreadsheetml/2006/main" count="1545" uniqueCount="296">
  <si>
    <t>Indicator_Roof_Constr_Massive</t>
  </si>
  <si>
    <t>Indicator_Roof_Constr_Wood</t>
  </si>
  <si>
    <t>Indicator_Ceiling_Constr_Massive</t>
  </si>
  <si>
    <t>Indicator_Ceiling_Constr_Wood</t>
  </si>
  <si>
    <t>Indicator_Wall_Constr_Massive</t>
  </si>
  <si>
    <t>Indicator_Wall_Constr_Wood</t>
  </si>
  <si>
    <t>Indicator_Floor_Constr_Massive</t>
  </si>
  <si>
    <t>Indicator_Floor_Constr_Wood</t>
  </si>
  <si>
    <t>Code_InsulationType_Roof</t>
  </si>
  <si>
    <t>Code_InsulationType_Ceiling</t>
  </si>
  <si>
    <t>Code_InsulationType_Wall</t>
  </si>
  <si>
    <t>Code_InsulationType_Floor</t>
  </si>
  <si>
    <t>Year_Refurbishment_Roof</t>
  </si>
  <si>
    <t>Year_Refurbishment_Ceiling</t>
  </si>
  <si>
    <t>Year_Refurbishment_Wall</t>
  </si>
  <si>
    <t>Year_Refurbishment_Floor</t>
  </si>
  <si>
    <t>d_Insulation_Roof</t>
  </si>
  <si>
    <t>d_Insulation_Ceiling</t>
  </si>
  <si>
    <t>d_Insulation_Wall</t>
  </si>
  <si>
    <t>d_Insulation_Floor</t>
  </si>
  <si>
    <t>f_Insulation_Roof</t>
  </si>
  <si>
    <t>f_Insulation_Ceiling</t>
  </si>
  <si>
    <t>f_Insulation_Wall</t>
  </si>
  <si>
    <t>f_Insulation_Floor</t>
  </si>
  <si>
    <t>"</t>
  </si>
  <si>
    <t>",</t>
  </si>
  <si>
    <t>Input variables</t>
  </si>
  <si>
    <t>UI slider input</t>
  </si>
  <si>
    <t>UI numeric input</t>
  </si>
  <si>
    <t>UI checkbox input</t>
  </si>
  <si>
    <t>UI radiobutton input</t>
  </si>
  <si>
    <t>_Slider</t>
  </si>
  <si>
    <t>ID_Dataset</t>
  </si>
  <si>
    <t>Name_Variant</t>
  </si>
  <si>
    <t>Year_State</t>
  </si>
  <si>
    <t>Year_State_First</t>
  </si>
  <si>
    <t>Year_State_Last</t>
  </si>
  <si>
    <t>Year_Building</t>
  </si>
  <si>
    <t>ID_Zone_LocationBuilding</t>
  </si>
  <si>
    <t>n_Block</t>
  </si>
  <si>
    <t>n_House</t>
  </si>
  <si>
    <t>n_Storey</t>
  </si>
  <si>
    <t>n_Dwelling</t>
  </si>
  <si>
    <t>A_C_Floor_Intake</t>
  </si>
  <si>
    <t>Code_TypeFloorArea_A_C_Floor_Intake</t>
  </si>
  <si>
    <t>Code_BuildingPart_A_C_Floor_Intake</t>
  </si>
  <si>
    <t>Code_AttachedNeighbours</t>
  </si>
  <si>
    <t>Code_ComplexFootprint</t>
  </si>
  <si>
    <t>Code_AtticCond</t>
  </si>
  <si>
    <t>Code_ComplexRoof</t>
  </si>
  <si>
    <t>Code_CellarCond</t>
  </si>
  <si>
    <t>Indicator_Cellar_Insulated</t>
  </si>
  <si>
    <t>h_Ceiling</t>
  </si>
  <si>
    <t>N0</t>
  </si>
  <si>
    <t>N1</t>
  </si>
  <si>
    <t>N2</t>
  </si>
  <si>
    <t>_NA_</t>
  </si>
  <si>
    <t>Simple</t>
  </si>
  <si>
    <t>Standard</t>
  </si>
  <si>
    <t>Complex</t>
  </si>
  <si>
    <t>N</t>
  </si>
  <si>
    <t>-</t>
  </si>
  <si>
    <t>P</t>
  </si>
  <si>
    <t>C</t>
  </si>
  <si>
    <t>direkt angrenzende Nachbargebäude</t>
  </si>
  <si>
    <t>keins (freistehend)</t>
  </si>
  <si>
    <t>auf einer Seite</t>
  </si>
  <si>
    <t>auf zwei Seiten</t>
  </si>
  <si>
    <t>keine Angabe / unbekannt</t>
  </si>
  <si>
    <t>Grundriss</t>
  </si>
  <si>
    <t>kompakt</t>
  </si>
  <si>
    <t>normal</t>
  </si>
  <si>
    <t>komplex / langgestreckt</t>
  </si>
  <si>
    <t>Flachdach oder 
flach geneigtes Dach</t>
  </si>
  <si>
    <t>Dachgeschoss unbeheizt</t>
  </si>
  <si>
    <t>Dachgeschoss teilweise beheizt</t>
  </si>
  <si>
    <t>Dachgeschoss voll beheizt</t>
  </si>
  <si>
    <t>Dachform</t>
  </si>
  <si>
    <t>einfach</t>
  </si>
  <si>
    <t>Gauben / komplex</t>
  </si>
  <si>
    <t>unbekannt oder unauffällig</t>
  </si>
  <si>
    <t>Keller</t>
  </si>
  <si>
    <t>nicht unterkellert</t>
  </si>
  <si>
    <t>Kellergeschoss unbeheizt</t>
  </si>
  <si>
    <t>Kellergeschoss teilweise beheizt</t>
  </si>
  <si>
    <t>Kellergeschoss voll beheizt</t>
  </si>
  <si>
    <t>Gauben / Dach</t>
  </si>
  <si>
    <t>Fenster</t>
  </si>
  <si>
    <t>Verglasung</t>
  </si>
  <si>
    <t>Haupttyp Fenster</t>
  </si>
  <si>
    <t>weiterer Typ Fenster</t>
  </si>
  <si>
    <t>% der Fensterfläche</t>
  </si>
  <si>
    <t>(Rest = Haupttyp Fenster)</t>
  </si>
  <si>
    <t>1 Scheibe</t>
  </si>
  <si>
    <t>2 Scheiben</t>
  </si>
  <si>
    <t>3 Scheiben</t>
  </si>
  <si>
    <t>keine Angaben / unbekannt</t>
  </si>
  <si>
    <t>Wärmeschutz-Vergl.</t>
  </si>
  <si>
    <t>Rahmen</t>
  </si>
  <si>
    <t>Holzrahmen</t>
  </si>
  <si>
    <t>Kunststoff-rahmen</t>
  </si>
  <si>
    <t>Alu- oder Stahlrahmen</t>
  </si>
  <si>
    <t>andere</t>
  </si>
  <si>
    <t>unbekannt</t>
  </si>
  <si>
    <t>Passivhaus-Fenster (3 Scheiben + gedämmter Rahmen)</t>
  </si>
  <si>
    <t>(U≤0.8W/(m²K))</t>
  </si>
  <si>
    <t>Jahr des Fenstereinbaus (ca.):</t>
  </si>
  <si>
    <t>Flächenanteil</t>
  </si>
  <si>
    <t>Energieprofil</t>
  </si>
  <si>
    <t>Gebäudehülle - zusätzliche Eingaben für Experten</t>
  </si>
  <si>
    <t>Experten-Eingaben für den Energieprofil-Fragebogen</t>
  </si>
  <si>
    <t>= verwendet in der Berechnung</t>
  </si>
  <si>
    <t>Wärmebrücken und Dichtheit der Hülle</t>
  </si>
  <si>
    <t>Details der Wärmedämmung</t>
  </si>
  <si>
    <t>Wärmebrücken</t>
  </si>
  <si>
    <t>minimal</t>
  </si>
  <si>
    <t>sehr gering</t>
  </si>
  <si>
    <t>gering</t>
  </si>
  <si>
    <t>mittel</t>
  </si>
  <si>
    <t>hoch</t>
  </si>
  <si>
    <t>k.A.</t>
  </si>
  <si>
    <t>Anhaltspunkte für Einordnung: zusätzliche Transmissionswärmeverluste, wenn bekannt</t>
  </si>
  <si>
    <t>≤ 0,01</t>
  </si>
  <si>
    <t>&gt; 0,01 &amp; ≤ 0,03</t>
  </si>
  <si>
    <t>&gt; 0,03 &amp; ≤ 0,07</t>
  </si>
  <si>
    <t>&gt; 0,07 &amp; ≤ 0,12</t>
  </si>
  <si>
    <t>&gt; 0,12</t>
  </si>
  <si>
    <t>Werte in [W/m²K], bezogen auf Hüllfläche, Werte basieren auf Außenmaß</t>
  </si>
  <si>
    <t>keine Durchdringungen der Hüllfläche mit Elementen deutlich höherer Wärmeleitfähigkeit; z.B.: (1) unsanierte Altbauten ohne Stahl- oder Beton-Elemente; (2) Best-Practice-Neubauten mit minimierten Wärmebrücken</t>
  </si>
  <si>
    <t>keine relevanten Durchdringungen der Hüllfläche mit Elementen deutlich höherer Wärmeleitfähigkeit; z.B.: (1) unsanierte Altbauten mit nur wenig Stahl- oder Beton-Elementen; (2) Best-Practice-Modernisierungen mit minimierten Wärmebrücken</t>
  </si>
  <si>
    <t xml:space="preserve">nur geringfügige Durchdringungen von Dämmschichten </t>
  </si>
  <si>
    <t>relevante konstruktive Wärmebrücken; z.B. Innendämmung in Gebäuden mit Holzbalkendecken</t>
  </si>
  <si>
    <t xml:space="preserve">sehr relevante konstruktive Wärmebrücken; z.B. Beton durchdringt Dämmebene </t>
  </si>
  <si>
    <t>Minimal</t>
  </si>
  <si>
    <t>Low</t>
  </si>
  <si>
    <t>Medium</t>
  </si>
  <si>
    <t>High</t>
  </si>
  <si>
    <t>Indication: blower door result n_50</t>
  </si>
  <si>
    <t>≤ 0,6</t>
  </si>
  <si>
    <t>&gt; 0,6 &amp;  ≤ 1,0</t>
  </si>
  <si>
    <t>&gt; 1,0 &amp;  ≤ 3,0</t>
  </si>
  <si>
    <t>&gt; 3,0</t>
  </si>
  <si>
    <t>sehr luftdicht; z.B. Massivbauten mit massiven Decken und sehr dichten Fenstern / Holzbauten mit Dichtheitskonzept und messtechnischer Überprüfung (Blower-Door-Messung)</t>
  </si>
  <si>
    <t>luftdicht; z.B. Massivbauten mit massiven Decken und dichten Fenstern / Holzbauten mit Dichtheitskonzept und messtechnischer Überprüfung (Blower-Door-Messung)</t>
  </si>
  <si>
    <t>Massivbauten ohne besondere Maßnahmen bzw. Bestand</t>
  </si>
  <si>
    <t>offensichtliche Undichtigkeiten (z.B. bei Fenstern ohne funktionstüchtige Lippendichtungen, bei beheizten Dachgeschossen mit Dachflächen ohne luftdichte Ebene)</t>
  </si>
  <si>
    <t>=f_Area_WindowType2/100</t>
  </si>
  <si>
    <t>1p</t>
  </si>
  <si>
    <t>2p</t>
  </si>
  <si>
    <t>3p</t>
  </si>
  <si>
    <t>Metal</t>
  </si>
  <si>
    <t>Wood</t>
  </si>
  <si>
    <t>Plastic</t>
  </si>
  <si>
    <t>=Year_Installation_WindowType1</t>
  </si>
  <si>
    <t>=Year_Installation_WindowType2</t>
  </si>
  <si>
    <t>VeryLow</t>
  </si>
  <si>
    <t>f_Area_WindowType2</t>
  </si>
  <si>
    <t>Code_NumberPanes_WindowType1</t>
  </si>
  <si>
    <t>Code_NumberPanes_WindowType2</t>
  </si>
  <si>
    <t>Indicator_LowE_WindowType1</t>
  </si>
  <si>
    <t>Indicator_LowE_WindowType2</t>
  </si>
  <si>
    <t>Code_Frame_WindowType1</t>
  </si>
  <si>
    <t>Code_Frame_WindowType2</t>
  </si>
  <si>
    <t>Indicator_PassiveHouseWindow_WindowType1</t>
  </si>
  <si>
    <t>Indicator_PassiveHouseWindow_WindowType2</t>
  </si>
  <si>
    <t>Year_Installation_WindowType1</t>
  </si>
  <si>
    <t>Year_Installation_WindowType2</t>
  </si>
  <si>
    <t>Code_ThermalBridging</t>
  </si>
  <si>
    <t>Code_Infiltration</t>
  </si>
  <si>
    <t>Wirkung der Undichtigkeiten</t>
  </si>
  <si>
    <t>Index_Row</t>
  </si>
  <si>
    <t>Display_Region</t>
  </si>
  <si>
    <t>Display_ConstructionYearClass</t>
  </si>
  <si>
    <t>Display_AdditionalParameter</t>
  </si>
  <si>
    <t>Code_BuildingType_Column1</t>
  </si>
  <si>
    <t>Code_BuildingType_Column2</t>
  </si>
  <si>
    <t>Code_BuildingType_Column3</t>
  </si>
  <si>
    <t>Code_BuildingType_Column4</t>
  </si>
  <si>
    <t>Code_Country</t>
  </si>
  <si>
    <t>Code_TypologyRegion</t>
  </si>
  <si>
    <t>Name_TypologyRegion</t>
  </si>
  <si>
    <t>Name_National_TypologyRegion</t>
  </si>
  <si>
    <t>Number_ConstructionYearClass</t>
  </si>
  <si>
    <t>ConstructionYearClass_FirstYear</t>
  </si>
  <si>
    <t>ConstructionYearClass_LastYear</t>
  </si>
  <si>
    <t>Code_AdditionalParameter</t>
  </si>
  <si>
    <t>Name_AdditionalParameter</t>
  </si>
  <si>
    <t>Name_AdditionalParameter_National</t>
  </si>
  <si>
    <t>Comment</t>
  </si>
  <si>
    <t>Note_DataBaseAdmin</t>
  </si>
  <si>
    <t>Suffix_Building_Column1</t>
  </si>
  <si>
    <t>Suffix_Building_Column2</t>
  </si>
  <si>
    <t>Suffix_Building_Column3</t>
  </si>
  <si>
    <t>Suffix_Building_Column4</t>
  </si>
  <si>
    <t>Status_Dataset_Column1</t>
  </si>
  <si>
    <t>Status_Dataset_Column2</t>
  </si>
  <si>
    <t>Status_Dataset_Column3</t>
  </si>
  <si>
    <t>Status_Dataset_Column4</t>
  </si>
  <si>
    <t>Status_BuildingType_Column1</t>
  </si>
  <si>
    <t>Status_BuildingType_Column2</t>
  </si>
  <si>
    <t>Status_BuildingType_Column3</t>
  </si>
  <si>
    <t>Status_BuildingType_Column4</t>
  </si>
  <si>
    <t>Building Type Matrix</t>
  </si>
  <si>
    <t>Evaluation</t>
  </si>
  <si>
    <t>Germany</t>
  </si>
  <si>
    <t>1 = dataset available</t>
  </si>
  <si>
    <t>number is calculated automatically</t>
  </si>
  <si>
    <t>all</t>
  </si>
  <si>
    <t>thereof "Gen"</t>
  </si>
  <si>
    <t>Region</t>
  </si>
  <si>
    <t>Construction Year Class</t>
  </si>
  <si>
    <t>Additional Classification</t>
  </si>
  <si>
    <t>SFH</t>
  </si>
  <si>
    <t>TH</t>
  </si>
  <si>
    <t>MFH</t>
  </si>
  <si>
    <t>AB</t>
  </si>
  <si>
    <t>if not available pictures will appear light grey after import</t>
  </si>
  <si>
    <t>(relevant for colour of matrix cells)</t>
  </si>
  <si>
    <t>SUH</t>
  </si>
  <si>
    <t>MUH</t>
  </si>
  <si>
    <t>Single-Family House</t>
  </si>
  <si>
    <t>Terraced House</t>
  </si>
  <si>
    <t>Multi-Family House</t>
  </si>
  <si>
    <t>Apartment Block</t>
  </si>
  <si>
    <t>Sum</t>
  </si>
  <si>
    <t>DE</t>
  </si>
  <si>
    <t>National</t>
  </si>
  <si>
    <t>nicht regional spezifiziert</t>
  </si>
  <si>
    <t>Gen</t>
  </si>
  <si>
    <t>Generic</t>
  </si>
  <si>
    <t>Basis-Typ</t>
  </si>
  <si>
    <t>ReEx.001</t>
  </si>
  <si>
    <t>LightFrame</t>
  </si>
  <si>
    <t>Light Frame Structure</t>
  </si>
  <si>
    <t>Fertighaus / Leichtbau</t>
  </si>
  <si>
    <t>light frame structure: prefabricated building, constructed by use of wooden frames, insulation, and plasterboards / wooden boards</t>
  </si>
  <si>
    <t>HR</t>
  </si>
  <si>
    <t>High-Rise Building</t>
  </si>
  <si>
    <t>Hochhaus</t>
  </si>
  <si>
    <t>Western Germany</t>
  </si>
  <si>
    <t>East</t>
  </si>
  <si>
    <t>Eastern Germany / former GDR</t>
  </si>
  <si>
    <t>neue Bundesländer</t>
  </si>
  <si>
    <t>panel building (Plattenbau)</t>
  </si>
  <si>
    <t/>
  </si>
  <si>
    <t>Code_BuildingType_National_Column1</t>
  </si>
  <si>
    <t>Code_BuildingType_National_Column2</t>
  </si>
  <si>
    <t>Code_BuildingType_National_Column3</t>
  </si>
  <si>
    <t>Code_BuildingType_National_Column4</t>
  </si>
  <si>
    <t>Code_ConstructionYearClass_National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</si>
  <si>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</si>
  <si>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</si>
  <si>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</si>
  <si>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</si>
  <si>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</si>
  <si>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</si>
  <si>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</si>
  <si>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</si>
  <si>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</si>
  <si>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</si>
  <si>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</si>
  <si>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</si>
  <si>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National 
(nicht regional spezifiziert)</t>
  </si>
  <si>
    <t>Generic 
(Basis-Typ)</t>
  </si>
  <si>
    <t>2016 … 2022</t>
  </si>
  <si>
    <t xml:space="preserve">2023 ... </t>
  </si>
  <si>
    <t>DE.N.SFH.13.Gen</t>
  </si>
  <si>
    <t>DE.N.TH.13.Gen</t>
  </si>
  <si>
    <t>DE.N.MFH.13.Gen</t>
  </si>
  <si>
    <t>EFH_F/F</t>
  </si>
  <si>
    <t>HH_E</t>
  </si>
  <si>
    <t>HH_F</t>
  </si>
  <si>
    <t>NBL_MFH_D</t>
  </si>
  <si>
    <t>NBL_MFH_E</t>
  </si>
  <si>
    <t>NBL_GMH_F</t>
  </si>
  <si>
    <t>NBL_GMH_G</t>
  </si>
  <si>
    <t>NBL_GMH_H</t>
  </si>
  <si>
    <t>NBL_HH_F</t>
  </si>
  <si>
    <t>NBL_HH_G</t>
  </si>
  <si>
    <t>Date_Change</t>
  </si>
  <si>
    <t>---</t>
  </si>
  <si>
    <t>Code_CentralisationType_SysHG</t>
  </si>
  <si>
    <t>Indicator_Storage_SysH</t>
  </si>
  <si>
    <t>Indicator_Storage_SysH_Immersion</t>
  </si>
  <si>
    <t>Indicator_Storage_SysH_InsideEnvelope</t>
  </si>
  <si>
    <t>Indicator_Distribution_SysH</t>
  </si>
  <si>
    <t>Indicator_Distribution_SysH_OutsideEnvelope</t>
  </si>
  <si>
    <t>Indicator_Distribution_SysH_PoorlyInsulated</t>
  </si>
  <si>
    <t>Indicator_Distribution_SysH_LowTemperature</t>
  </si>
  <si>
    <t>Indicator_Storage_SysW</t>
  </si>
  <si>
    <t>Indicator_Storage_SysW_Immersion</t>
  </si>
  <si>
    <t>Indicator_Storage_SysW_InsideEnvelope</t>
  </si>
  <si>
    <t>Indicator_Distribution_SysW</t>
  </si>
  <si>
    <t>Indicator_Distribution_SysW_CirculationLoop</t>
  </si>
  <si>
    <t>Indicator_Distribution_SysW_OutsideEnvelope</t>
  </si>
  <si>
    <t>Indicator_Distribution_SysW_PoorlyInsulated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</si>
</sst>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]* #,##0.00_);_([$€]* \(#,##0.00\);_([$€]* &quot;-&quot;??_);_(@_)"/>
    <numFmt numFmtId="165" formatCode="\{\ 0.00\ \}"/>
  </numFmts>
  <fonts count="34">
    <font>
      <sz val="8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indexed="12"/>
      <name val="Tahoma"/>
      <family val="2"/>
    </font>
    <font>
      <sz val="11"/>
      <color indexed="17"/>
      <name val="Calibri"/>
      <family val="2"/>
    </font>
    <font>
      <b/>
      <sz val="10"/>
      <color indexed="9"/>
      <name val="Tahoma"/>
      <family val="2"/>
    </font>
    <font>
      <u/>
      <sz val="9"/>
      <color theme="10"/>
      <name val="Tahoma"/>
      <family val="2"/>
    </font>
    <font>
      <sz val="11"/>
      <color rgb="FF9C6500"/>
      <name val="Calibri"/>
      <family val="2"/>
      <scheme val="minor"/>
    </font>
    <font>
      <sz val="11"/>
      <color indexed="20"/>
      <name val="Calibri"/>
      <family val="2"/>
    </font>
    <font>
      <sz val="11"/>
      <name val="MetaNormalLF-Roman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8"/>
      <color indexed="9"/>
      <name val="Tahoma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indexed="55"/>
      <name val="Tahoma"/>
      <family val="2"/>
    </font>
    <font>
      <b/>
      <sz val="8"/>
      <color indexed="12"/>
      <name val="Tahoma"/>
      <family val="2"/>
    </font>
    <font>
      <sz val="8"/>
      <color indexed="9"/>
      <name val="Tahoma"/>
      <family val="2"/>
    </font>
    <font>
      <b/>
      <sz val="8"/>
      <color rgb="FFFF0000"/>
      <name val="Tahoma"/>
      <family val="2"/>
    </font>
    <font>
      <sz val="8"/>
      <color rgb="FFFF0000"/>
      <name val="Tahoma"/>
      <family val="2"/>
    </font>
    <font>
      <sz val="8"/>
      <color rgb="FF0000CC"/>
      <name val="Tahoma"/>
      <family val="2"/>
    </font>
    <font>
      <b/>
      <sz val="8"/>
      <color rgb="FF0000CC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indexed="44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6"/>
      </patternFill>
    </fill>
    <fill>
      <patternFill patternType="solid">
        <fgColor indexed="50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FF99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4"/>
        <bgColor indexed="64"/>
      </patternFill>
    </fill>
    <fill>
      <patternFill patternType="lightVertical">
        <fgColor theme="0" tint="-0.14996795556505021"/>
        <bgColor indexed="43"/>
      </patternFill>
    </fill>
    <fill>
      <patternFill patternType="solid">
        <fgColor indexed="14"/>
      </patternFill>
    </fill>
    <fill>
      <patternFill patternType="solid">
        <fgColor indexed="21"/>
        <bgColor indexed="64"/>
      </patternFill>
    </fill>
    <fill>
      <patternFill patternType="solid">
        <fgColor indexed="55"/>
      </patternFill>
    </fill>
    <fill>
      <patternFill patternType="solid">
        <fgColor rgb="FFFFFFCC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EAEAEA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2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5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5"/>
      </top>
      <bottom style="thin">
        <color indexed="25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73">
    <xf numFmtId="0" fontId="0" fillId="0" borderId="0">
      <alignment vertical="center"/>
    </xf>
    <xf numFmtId="0" fontId="17" fillId="2" borderId="0" applyNumberFormat="0" applyBorder="0" applyAlignment="0" applyProtection="0"/>
    <xf numFmtId="0" fontId="13" fillId="20" borderId="5">
      <alignment vertical="center"/>
      <protection locked="0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8" borderId="0" applyNumberFormat="0" applyBorder="0" applyAlignment="0" applyProtection="0"/>
    <xf numFmtId="0" fontId="8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10" fillId="18" borderId="4">
      <alignment vertical="top"/>
    </xf>
    <xf numFmtId="0" fontId="11" fillId="0" borderId="5">
      <alignment horizontal="left" vertical="center" wrapText="1"/>
    </xf>
    <xf numFmtId="0" fontId="12" fillId="19" borderId="6" applyFont="0" applyFill="0" applyBorder="0" applyAlignment="0">
      <alignment horizontal="left" vertical="top" wrapText="1"/>
    </xf>
    <xf numFmtId="0" fontId="13" fillId="20" borderId="5">
      <alignment vertical="top" wrapText="1" shrinkToFit="1"/>
      <protection locked="0"/>
    </xf>
    <xf numFmtId="0" fontId="11" fillId="21" borderId="5">
      <alignment horizontal="center" vertical="center"/>
      <protection locked="0"/>
    </xf>
    <xf numFmtId="0" fontId="13" fillId="20" borderId="5">
      <alignment horizontal="center" vertical="center" shrinkToFit="1"/>
      <protection locked="0"/>
    </xf>
    <xf numFmtId="0" fontId="7" fillId="0" borderId="3" applyNumberFormat="0" applyFill="0" applyAlignment="0" applyProtection="0"/>
    <xf numFmtId="0" fontId="6" fillId="0" borderId="0" applyNumberForma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0" fontId="11" fillId="22" borderId="5">
      <alignment horizontal="center" vertical="center"/>
    </xf>
    <xf numFmtId="0" fontId="11" fillId="22" borderId="5">
      <alignment horizontal="center" vertical="center"/>
    </xf>
    <xf numFmtId="0" fontId="11" fillId="23" borderId="5">
      <alignment vertical="center"/>
      <protection locked="0"/>
    </xf>
    <xf numFmtId="0" fontId="11" fillId="22" borderId="5">
      <alignment vertical="top" shrinkToFit="1"/>
    </xf>
    <xf numFmtId="0" fontId="11" fillId="22" borderId="5">
      <alignment vertical="top" wrapText="1"/>
    </xf>
    <xf numFmtId="0" fontId="14" fillId="8" borderId="0" applyNumberFormat="0" applyBorder="0" applyAlignment="0" applyProtection="0"/>
    <xf numFmtId="0" fontId="15" fillId="24" borderId="0">
      <alignment horizontal="left" vertical="center" indent="1"/>
    </xf>
    <xf numFmtId="0" fontId="16" fillId="0" borderId="0" applyNumberFormat="0" applyFill="0" applyBorder="0" applyAlignment="0" applyProtection="0">
      <alignment vertical="top"/>
    </xf>
    <xf numFmtId="0" fontId="13" fillId="20" borderId="5">
      <alignment vertical="top" wrapText="1" shrinkToFit="1"/>
      <protection locked="0"/>
    </xf>
    <xf numFmtId="0" fontId="13" fillId="25" borderId="5">
      <alignment horizontal="center" vertical="center" shrinkToFit="1"/>
      <protection locked="0"/>
    </xf>
    <xf numFmtId="0" fontId="12" fillId="19" borderId="6">
      <alignment horizontal="left" vertical="top" wrapText="1"/>
    </xf>
    <xf numFmtId="0" fontId="2" fillId="0" borderId="0"/>
    <xf numFmtId="0" fontId="2" fillId="0" borderId="0"/>
    <xf numFmtId="0" fontId="11" fillId="0" borderId="0">
      <alignment vertical="top"/>
    </xf>
    <xf numFmtId="0" fontId="2" fillId="0" borderId="0"/>
    <xf numFmtId="0" fontId="10" fillId="0" borderId="0"/>
    <xf numFmtId="0" fontId="11" fillId="6" borderId="5" applyNumberFormat="0" applyFont="0" applyAlignment="0" applyProtection="0"/>
    <xf numFmtId="0" fontId="18" fillId="26" borderId="0" applyNumberFormat="0" applyBorder="0" applyAlignment="0" applyProtection="0"/>
    <xf numFmtId="0" fontId="10" fillId="0" borderId="0"/>
    <xf numFmtId="0" fontId="10" fillId="0" borderId="0"/>
    <xf numFmtId="0" fontId="19" fillId="0" borderId="0"/>
    <xf numFmtId="0" fontId="10" fillId="0" borderId="0">
      <alignment vertical="top"/>
    </xf>
    <xf numFmtId="0" fontId="11" fillId="0" borderId="0">
      <alignment vertical="top"/>
    </xf>
    <xf numFmtId="0" fontId="1" fillId="0" borderId="0">
      <alignment vertical="top"/>
    </xf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27" borderId="0">
      <alignment vertical="center"/>
    </xf>
    <xf numFmtId="0" fontId="24" fillId="27" borderId="0">
      <alignment horizontal="left" vertical="center" indent="1"/>
    </xf>
    <xf numFmtId="165" fontId="11" fillId="22" borderId="5">
      <alignment vertical="center" shrinkToFit="1"/>
    </xf>
    <xf numFmtId="0" fontId="25" fillId="0" borderId="10" applyNumberFormat="0" applyFill="0" applyAlignment="0" applyProtection="0"/>
    <xf numFmtId="0" fontId="5" fillId="0" borderId="0" applyNumberFormat="0" applyFill="0" applyBorder="0" applyAlignment="0" applyProtection="0"/>
    <xf numFmtId="0" fontId="26" fillId="28" borderId="11" applyNumberFormat="0" applyAlignment="0" applyProtection="0"/>
  </cellStyleXfs>
  <cellXfs count="62">
    <xf numFmtId="0" fontId="0" fillId="0" borderId="0" xfId="0">
      <alignment vertical="center"/>
    </xf>
    <xf numFmtId="0" fontId="13" fillId="29" borderId="5" xfId="46" applyFill="1">
      <alignment vertical="top" wrapText="1" shrinkToFit="1"/>
      <protection locked="0"/>
    </xf>
    <xf numFmtId="0" fontId="11" fillId="22" borderId="5" xfId="41">
      <alignment vertical="top" shrinkToFit="1"/>
    </xf>
    <xf numFmtId="0" fontId="12" fillId="0" borderId="0" xfId="0" applyFont="1">
      <alignment vertical="center"/>
    </xf>
    <xf numFmtId="0" fontId="0" fillId="0" borderId="0" xfId="0" applyAlignment="1">
      <alignment vertical="center"/>
    </xf>
    <xf numFmtId="0" fontId="13" fillId="29" borderId="5" xfId="46" applyFill="1" applyAlignment="1">
      <alignment vertical="top" shrinkToFit="1"/>
      <protection locked="0"/>
    </xf>
    <xf numFmtId="0" fontId="11" fillId="22" borderId="5" xfId="41" applyAlignment="1">
      <alignment vertical="top" shrinkToFit="1"/>
    </xf>
    <xf numFmtId="0" fontId="11" fillId="22" borderId="5" xfId="41" applyAlignment="1">
      <alignment vertical="top"/>
    </xf>
    <xf numFmtId="0" fontId="12" fillId="19" borderId="6" xfId="48" applyFont="1">
      <alignment horizontal="left" vertical="top" wrapText="1"/>
    </xf>
    <xf numFmtId="0" fontId="12" fillId="19" borderId="12" xfId="48" applyFont="1" applyBorder="1">
      <alignment horizontal="left" vertical="top" wrapText="1"/>
    </xf>
    <xf numFmtId="0" fontId="11" fillId="0" borderId="0" xfId="0" applyFont="1" applyAlignment="1">
      <alignment vertical="center"/>
    </xf>
    <xf numFmtId="0" fontId="12" fillId="19" borderId="13" xfId="48" applyFont="1" applyBorder="1" applyAlignment="1">
      <alignment horizontal="right" vertical="top" wrapText="1"/>
    </xf>
    <xf numFmtId="0" fontId="27" fillId="30" borderId="6" xfId="48" applyFont="1" applyFill="1" applyBorder="1" applyAlignment="1">
      <alignment horizontal="left" vertical="top" wrapText="1"/>
    </xf>
    <xf numFmtId="0" fontId="27" fillId="30" borderId="14" xfId="48" applyFont="1" applyFill="1" applyBorder="1" applyAlignment="1">
      <alignment horizontal="left" vertical="top" wrapText="1"/>
    </xf>
    <xf numFmtId="0" fontId="27" fillId="30" borderId="14" xfId="48" quotePrefix="1" applyFont="1" applyFill="1" applyBorder="1" applyAlignment="1">
      <alignment horizontal="left" vertical="top"/>
    </xf>
    <xf numFmtId="0" fontId="27" fillId="30" borderId="12" xfId="48" applyFont="1" applyFill="1" applyBorder="1" applyAlignment="1">
      <alignment horizontal="left" vertical="top" wrapText="1"/>
    </xf>
    <xf numFmtId="0" fontId="27" fillId="30" borderId="12" xfId="48" quotePrefix="1" applyFont="1" applyFill="1" applyBorder="1" applyAlignment="1">
      <alignment horizontal="left" vertical="top"/>
    </xf>
    <xf numFmtId="0" fontId="15" fillId="24" borderId="0" xfId="44">
      <alignment horizontal="left" vertical="center" indent="1"/>
    </xf>
    <xf numFmtId="0" fontId="12" fillId="19" borderId="0" xfId="0" applyFont="1" applyFill="1">
      <alignment vertical="center"/>
    </xf>
    <xf numFmtId="0" fontId="0" fillId="19" borderId="0" xfId="0" applyFill="1">
      <alignment vertical="center"/>
    </xf>
    <xf numFmtId="0" fontId="12" fillId="31" borderId="13" xfId="48" applyFont="1" applyFill="1" applyBorder="1" applyAlignment="1">
      <alignment horizontal="right" vertical="center" wrapText="1"/>
    </xf>
    <xf numFmtId="0" fontId="12" fillId="31" borderId="0" xfId="48" applyFont="1" applyFill="1" applyBorder="1" applyAlignment="1">
      <alignment horizontal="right" vertical="center" wrapText="1"/>
    </xf>
    <xf numFmtId="0" fontId="12" fillId="31" borderId="15" xfId="48" applyFont="1" applyFill="1" applyBorder="1" applyAlignment="1">
      <alignment horizontal="right" vertical="center" wrapText="1"/>
    </xf>
    <xf numFmtId="0" fontId="12" fillId="31" borderId="13" xfId="48" applyFont="1" applyFill="1" applyBorder="1" applyAlignment="1">
      <alignment horizontal="right" vertical="top" wrapText="1"/>
    </xf>
    <xf numFmtId="0" fontId="27" fillId="30" borderId="12" xfId="48" applyFont="1" applyFill="1" applyBorder="1" applyAlignment="1">
      <alignment horizontal="left" vertical="top"/>
    </xf>
    <xf numFmtId="0" fontId="0" fillId="0" borderId="0" xfId="0" applyBorder="1">
      <alignment vertical="center"/>
    </xf>
    <xf numFmtId="0" fontId="12" fillId="19" borderId="6" xfId="48">
      <alignment horizontal="left" vertical="top" wrapText="1"/>
    </xf>
    <xf numFmtId="0" fontId="24" fillId="31" borderId="6" xfId="48" applyFont="1" applyFill="1" applyBorder="1" applyAlignment="1">
      <alignment horizontal="center" vertical="top" wrapText="1"/>
    </xf>
    <xf numFmtId="0" fontId="24" fillId="31" borderId="14" xfId="48" applyFont="1" applyFill="1" applyBorder="1" applyAlignment="1">
      <alignment horizontal="center" vertical="top" wrapText="1"/>
    </xf>
    <xf numFmtId="0" fontId="27" fillId="30" borderId="20" xfId="48" applyFont="1" applyFill="1" applyBorder="1" applyAlignment="1">
      <alignment horizontal="left" vertical="top" wrapText="1"/>
    </xf>
    <xf numFmtId="0" fontId="27" fillId="30" borderId="20" xfId="48" applyFont="1" applyFill="1" applyBorder="1" applyAlignment="1">
      <alignment horizontal="left" vertical="top"/>
    </xf>
    <xf numFmtId="0" fontId="12" fillId="0" borderId="5" xfId="41" applyFont="1" applyFill="1" applyAlignment="1">
      <alignment horizontal="center" vertical="center"/>
    </xf>
    <xf numFmtId="0" fontId="29" fillId="31" borderId="6" xfId="48" applyFont="1" applyFill="1" applyAlignment="1">
      <alignment horizontal="center" vertical="center" wrapText="1"/>
    </xf>
    <xf numFmtId="0" fontId="11" fillId="22" borderId="21" xfId="48" applyFont="1" applyFill="1" applyBorder="1" applyAlignment="1">
      <alignment horizontal="left" vertical="center" wrapText="1" indent="1"/>
    </xf>
    <xf numFmtId="0" fontId="11" fillId="22" borderId="21" xfId="38" applyFont="1" applyFill="1" applyBorder="1" applyAlignment="1">
      <alignment horizontal="center" shrinkToFit="1"/>
    </xf>
    <xf numFmtId="0" fontId="11" fillId="31" borderId="12" xfId="48" applyFont="1" applyFill="1" applyBorder="1">
      <alignment horizontal="left" vertical="top" wrapText="1"/>
    </xf>
    <xf numFmtId="0" fontId="28" fillId="20" borderId="22" xfId="2" applyFont="1" applyBorder="1" applyAlignment="1">
      <alignment horizontal="left" vertical="top" wrapText="1" shrinkToFit="1"/>
      <protection locked="0"/>
    </xf>
    <xf numFmtId="0" fontId="13" fillId="20" borderId="22" xfId="2" applyFont="1" applyBorder="1" applyAlignment="1">
      <alignment horizontal="left" vertical="top" wrapText="1" shrinkToFit="1"/>
      <protection locked="0"/>
    </xf>
    <xf numFmtId="0" fontId="11" fillId="22" borderId="22" xfId="2" applyFont="1" applyFill="1" applyBorder="1" applyAlignment="1">
      <alignment horizontal="left" vertical="top" wrapText="1" shrinkToFit="1"/>
      <protection locked="0"/>
    </xf>
    <xf numFmtId="0" fontId="11" fillId="22" borderId="5" xfId="41" applyAlignment="1">
      <alignment horizontal="center" vertical="center"/>
    </xf>
    <xf numFmtId="0" fontId="12" fillId="0" borderId="5" xfId="2" applyFont="1" applyFill="1" applyAlignment="1">
      <alignment horizontal="left" vertical="top" wrapText="1" shrinkToFit="1"/>
      <protection locked="0"/>
    </xf>
    <xf numFmtId="0" fontId="28" fillId="20" borderId="5" xfId="2" applyFont="1" applyAlignment="1">
      <alignment horizontal="left" vertical="top" wrapText="1" shrinkToFit="1"/>
      <protection locked="0"/>
    </xf>
    <xf numFmtId="0" fontId="13" fillId="20" borderId="5" xfId="2" applyFont="1" applyAlignment="1">
      <alignment horizontal="left" vertical="top" wrapText="1" shrinkToFit="1"/>
      <protection locked="0"/>
    </xf>
    <xf numFmtId="0" fontId="31" fillId="0" borderId="0" xfId="0" applyFont="1">
      <alignment vertical="center"/>
    </xf>
    <xf numFmtId="0" fontId="12" fillId="32" borderId="23" xfId="0" applyFont="1" applyFill="1" applyBorder="1" applyAlignment="1">
      <alignment vertical="top" wrapText="1"/>
    </xf>
    <xf numFmtId="0" fontId="30" fillId="32" borderId="23" xfId="0" applyFont="1" applyFill="1" applyBorder="1" applyAlignment="1">
      <alignment vertical="top" wrapText="1"/>
    </xf>
    <xf numFmtId="0" fontId="0" fillId="0" borderId="23" xfId="0" applyBorder="1">
      <alignment vertical="center"/>
    </xf>
    <xf numFmtId="0" fontId="31" fillId="0" borderId="23" xfId="0" applyFont="1" applyBorder="1">
      <alignment vertical="center"/>
    </xf>
    <xf numFmtId="0" fontId="32" fillId="0" borderId="23" xfId="0" applyFont="1" applyBorder="1">
      <alignment vertical="center"/>
    </xf>
    <xf numFmtId="0" fontId="32" fillId="0" borderId="0" xfId="0" applyFont="1">
      <alignment vertical="center"/>
    </xf>
    <xf numFmtId="0" fontId="12" fillId="0" borderId="23" xfId="0" applyFont="1" applyBorder="1">
      <alignment vertical="center"/>
    </xf>
    <xf numFmtId="0" fontId="33" fillId="0" borderId="23" xfId="0" applyFont="1" applyBorder="1">
      <alignment vertical="center"/>
    </xf>
    <xf numFmtId="14" fontId="32" fillId="0" borderId="23" xfId="0" applyNumberFormat="1" applyFont="1" applyBorder="1">
      <alignment vertical="center"/>
    </xf>
    <xf numFmtId="0" fontId="32" fillId="0" borderId="23" xfId="0" quotePrefix="1" applyFont="1" applyBorder="1">
      <alignment vertical="center"/>
    </xf>
    <xf numFmtId="0" fontId="12" fillId="31" borderId="14" xfId="48" applyFont="1" applyFill="1" applyBorder="1">
      <alignment horizontal="left" vertical="top" wrapText="1"/>
    </xf>
    <xf numFmtId="0" fontId="12" fillId="31" borderId="12" xfId="48" applyFont="1" applyFill="1" applyBorder="1">
      <alignment horizontal="left" vertical="top" wrapText="1"/>
    </xf>
    <xf numFmtId="0" fontId="28" fillId="20" borderId="16" xfId="2" applyFont="1" applyBorder="1" applyAlignment="1">
      <alignment horizontal="left" vertical="center" wrapText="1" indent="1" shrinkToFit="1"/>
      <protection locked="0"/>
    </xf>
    <xf numFmtId="0" fontId="28" fillId="20" borderId="17" xfId="2" applyFont="1" applyBorder="1" applyAlignment="1">
      <alignment horizontal="left" vertical="center" wrapText="1" indent="1" shrinkToFit="1"/>
      <protection locked="0"/>
    </xf>
    <xf numFmtId="0" fontId="28" fillId="20" borderId="18" xfId="2" applyFont="1" applyBorder="1" applyAlignment="1">
      <alignment horizontal="left" vertical="center" wrapText="1" indent="1" shrinkToFit="1"/>
      <protection locked="0"/>
    </xf>
    <xf numFmtId="0" fontId="24" fillId="31" borderId="6" xfId="48" applyFont="1" applyFill="1" applyBorder="1">
      <alignment horizontal="left" vertical="top" wrapText="1"/>
    </xf>
    <xf numFmtId="0" fontId="24" fillId="31" borderId="14" xfId="48" applyFont="1" applyFill="1" applyBorder="1" applyAlignment="1">
      <alignment horizontal="left" vertical="top" wrapText="1"/>
    </xf>
    <xf numFmtId="0" fontId="24" fillId="31" borderId="19" xfId="48" applyFont="1" applyFill="1" applyBorder="1" applyAlignment="1">
      <alignment horizontal="left" vertical="top" wrapText="1"/>
    </xf>
  </cellXfs>
  <cellStyles count="73">
    <cellStyle name="20% - Akzent1" xfId="3" xr:uid="{D7630F92-F617-4A4D-B58B-0B6B22300558}"/>
    <cellStyle name="20% - Akzent2" xfId="4" xr:uid="{BA0A5FD6-A347-4DE3-B96B-AF6F7229E1D6}"/>
    <cellStyle name="20% - Akzent3" xfId="5" xr:uid="{4B152F7D-1781-4092-A369-38E02E68F3F9}"/>
    <cellStyle name="20% - Akzent4" xfId="6" xr:uid="{267E8425-3193-4897-8022-92BD36FD6DBC}"/>
    <cellStyle name="20% - Akzent5" xfId="7" xr:uid="{EAFFD9F1-6C37-4815-A8CD-52826A579569}"/>
    <cellStyle name="20% - Akzent6" xfId="8" xr:uid="{14FA3654-A1E3-4429-BA6D-5DC0B8894632}"/>
    <cellStyle name="40% - Akzent1" xfId="9" xr:uid="{106BE732-ED43-4B57-9F18-2733660846A5}"/>
    <cellStyle name="40% - Akzent2" xfId="10" xr:uid="{1DF85ADF-61B0-4DDC-B1BF-9C69E62A71F0}"/>
    <cellStyle name="40% - Akzent3" xfId="11" xr:uid="{F3D57FCC-15F5-4434-A473-E91F35998134}"/>
    <cellStyle name="40% - Akzent4" xfId="12" xr:uid="{799BD939-1367-464E-9CFF-1841DFADF653}"/>
    <cellStyle name="40% - Akzent5" xfId="13" xr:uid="{2B92E0E5-A0A8-4B97-A43B-E2A29A69F30E}"/>
    <cellStyle name="40% - Akzent6" xfId="14" xr:uid="{A2233EEA-8E14-4579-8712-DF231C790190}"/>
    <cellStyle name="60% - Akzent1" xfId="15" xr:uid="{FB583245-C7E2-40B8-9FD6-0DDDAB68AD86}"/>
    <cellStyle name="60% - Akzent2" xfId="16" xr:uid="{3BB1D285-D5EA-48FF-9988-7AE5FD44E9FE}"/>
    <cellStyle name="60% - Akzent3" xfId="17" xr:uid="{67D4FD03-BA8F-41AB-8AA3-776BC5693502}"/>
    <cellStyle name="60% - Akzent4" xfId="18" xr:uid="{646A1524-9EA8-4A69-B76D-10F95FAC8AF7}"/>
    <cellStyle name="60% - Akzent5" xfId="19" xr:uid="{2CA6CF9C-A4B6-495E-8D8D-2C9976E5FC7F}"/>
    <cellStyle name="60% - Akzent6" xfId="20" xr:uid="{461C2C36-9661-4CE1-B349-D512C8FEDAD5}"/>
    <cellStyle name="Akzent1 2" xfId="21" xr:uid="{5D8DDEE1-66A9-4035-9406-3C93225966D6}"/>
    <cellStyle name="Akzent2 2" xfId="22" xr:uid="{899E37AF-B039-437F-8920-B1544A0D3C04}"/>
    <cellStyle name="Akzent3 2" xfId="23" xr:uid="{D67D884A-797F-4328-844C-C2723789A394}"/>
    <cellStyle name="Akzent4 2" xfId="24" xr:uid="{01B1F2AB-A5F9-4864-A736-0BBA67A44F3C}"/>
    <cellStyle name="Akzent5 2" xfId="25" xr:uid="{591DB66A-215C-42A4-96D9-6FFEF7E7842D}"/>
    <cellStyle name="Akzent6 2" xfId="26" xr:uid="{FA972914-2A43-448B-8A50-6A96A44DBF97}"/>
    <cellStyle name="Ausgabe 2" xfId="27" xr:uid="{0DF76E55-3152-4FDB-A333-BC74FF860093}"/>
    <cellStyle name="Berechnung 2" xfId="28" xr:uid="{4F4B92A1-00D1-4ED1-A6CA-97F77E571D45}"/>
    <cellStyle name="Comment" xfId="29" xr:uid="{993EE7BF-5A6D-42D9-B084-5A6873D5F3A4}"/>
    <cellStyle name="Constant" xfId="30" xr:uid="{0FCE8767-9A57-4127-8529-D0C4058E03B5}"/>
    <cellStyle name="DataSheet" xfId="31" xr:uid="{B9BE788D-993B-42FE-B2E8-D2D4B2D15949}"/>
    <cellStyle name="Eingabe" xfId="2" builtinId="20" customBuiltin="1"/>
    <cellStyle name="Eingabe 2" xfId="32" xr:uid="{DAF6F991-4956-4CE0-B8C2-59DF5D238B7C}"/>
    <cellStyle name="Eingabe oder Formel" xfId="33" xr:uid="{8940D0C0-2570-46F5-9D03-3389F5C1033B}"/>
    <cellStyle name="Eingabe1" xfId="34" xr:uid="{381EE62A-3788-4276-AD89-1BB17DC3B53C}"/>
    <cellStyle name="Ergebnis 2" xfId="35" xr:uid="{6B642F2A-AE7A-4439-BBD7-DFA9ADB7620E}"/>
    <cellStyle name="Erklärender Text 2" xfId="36" xr:uid="{E83D511E-C9AA-43BF-9134-D696451537CF}"/>
    <cellStyle name="Euro" xfId="37" xr:uid="{02753765-49F0-4EA4-A0B7-1798D2963572}"/>
    <cellStyle name="Formel" xfId="38" xr:uid="{23774563-7F08-4F4B-B325-BBF720094EBA}"/>
    <cellStyle name="Formel 2" xfId="39" xr:uid="{D8397D76-E2A5-4E39-8E39-A15D59457CD6}"/>
    <cellStyle name="Formel_externer_Bezug" xfId="40" xr:uid="{5ED4ED6E-F612-4FA7-BC93-75B089E35419}"/>
    <cellStyle name="Formula" xfId="41" xr:uid="{37D63ACD-A870-4D7A-8218-A3EB2412945D}"/>
    <cellStyle name="Formula 2" xfId="42" xr:uid="{26DA236B-8AB7-4AE0-B995-EC5673ACF45D}"/>
    <cellStyle name="Gut 2" xfId="43" xr:uid="{9C1E75D8-2AC8-460C-97E7-DBCED65BC0E9}"/>
    <cellStyle name="Heading1" xfId="44" xr:uid="{0C1D295A-509A-46D5-8E9D-6BE65C2E7404}"/>
    <cellStyle name="Hyperlink 2" xfId="45" xr:uid="{2758DE54-A661-4B11-A65F-D1E919F1A9D7}"/>
    <cellStyle name="Input 2" xfId="46" xr:uid="{F58B8DF2-C1B0-4FF3-BA76-F2BADC2DB87A}"/>
    <cellStyle name="Input_InCellDropDown" xfId="47" xr:uid="{82672946-7E8F-4D96-8953-F2ECD04DC2D4}"/>
    <cellStyle name="Label" xfId="48" xr:uid="{368D6387-5C5E-4926-ADA8-E7657928D410}"/>
    <cellStyle name="Neutral" xfId="1" builtinId="28" customBuiltin="1"/>
    <cellStyle name="Normal 2" xfId="49" xr:uid="{B02427D8-02B6-488A-B4D7-C7B411FFC236}"/>
    <cellStyle name="Normal 2 2" xfId="50" xr:uid="{F6209E1B-5AA1-4CD8-94BD-0C21B0DA241C}"/>
    <cellStyle name="Normal 3" xfId="51" xr:uid="{7C1D7C51-7D4E-4863-B001-C866B888207F}"/>
    <cellStyle name="Normal 4" xfId="52" xr:uid="{613FABC2-F46C-46EF-A455-3B8F4AE0A5EF}"/>
    <cellStyle name="Normal_STANDARD" xfId="53" xr:uid="{D34D7ED8-6270-41C9-9153-BE2ACEF2AA80}"/>
    <cellStyle name="Notiz 2" xfId="54" xr:uid="{3AAB9444-5C2E-4890-B76C-50158DA4DE89}"/>
    <cellStyle name="Schlecht 2" xfId="55" xr:uid="{932AE31D-98DF-4572-9054-DEF0D0EB9774}"/>
    <cellStyle name="Standard" xfId="0" builtinId="0" customBuiltin="1"/>
    <cellStyle name="Standard 2" xfId="56" xr:uid="{06C17319-1D55-4244-867A-896AB76A5668}"/>
    <cellStyle name="Standard 2 2" xfId="57" xr:uid="{EBB67E3E-7714-47AD-BBEF-71460134CC8A}"/>
    <cellStyle name="Standard 3" xfId="58" xr:uid="{A601A345-BD89-4E57-868A-43D5D4CD14E0}"/>
    <cellStyle name="Standard 4" xfId="59" xr:uid="{E88D4D25-88F3-4178-923D-DBA806F8F35F}"/>
    <cellStyle name="Standard 5" xfId="60" xr:uid="{5DA10C22-A96B-4212-B63C-4E4426606DC5}"/>
    <cellStyle name="Standard 6" xfId="61" xr:uid="{93475E0C-75B3-4ED0-A824-0C7622498F9E}"/>
    <cellStyle name="Überschrift 1 2" xfId="62" xr:uid="{541DE22A-96DE-4024-95D6-DCED1C64B1BA}"/>
    <cellStyle name="Überschrift 2 2" xfId="63" xr:uid="{D64C4192-E131-43C3-9DE7-696430E05C95}"/>
    <cellStyle name="Überschrift 3 2" xfId="64" xr:uid="{E7D4F7DB-263C-4629-A649-63ABEC3166B8}"/>
    <cellStyle name="Überschrift 4 2" xfId="65" xr:uid="{4917A605-8871-4061-A742-1E94F18F7538}"/>
    <cellStyle name="Überschrift 5" xfId="66" xr:uid="{31A20188-CC39-458D-850E-578C1C3524BB}"/>
    <cellStyle name="Ueberschrift" xfId="67" xr:uid="{A71F0ADD-3960-4D64-8D2D-16DCC1CD2B43}"/>
    <cellStyle name="Ueberschrift 2" xfId="68" xr:uid="{5D8426BB-4828-4D55-B6ED-81AA060D5D54}"/>
    <cellStyle name="Vector-Formula" xfId="69" xr:uid="{F4FB8CAC-789C-42E0-922C-877EF31170EA}"/>
    <cellStyle name="Verknüpfte Zelle 2" xfId="70" xr:uid="{3295B26E-0361-45DB-81DD-54BF00D8558D}"/>
    <cellStyle name="Warnender Text 2" xfId="71" xr:uid="{2EDBC9DA-AE23-4E6C-AD33-4DCCECF6E515}"/>
    <cellStyle name="Zelle überprüfen 2" xfId="72" xr:uid="{8C7ABCD1-8ABE-49BB-A82B-79D8223771FA}"/>
  </cellStyles>
  <dxfs count="6">
    <dxf>
      <fill>
        <patternFill>
          <bgColor indexed="22"/>
        </patternFill>
      </fill>
    </dxf>
    <dxf>
      <fill>
        <patternFill>
          <bgColor indexed="25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bgColor indexed="47"/>
        </patternFill>
      </fill>
    </dxf>
    <dxf>
      <fill>
        <patternFill>
          <bgColor indexed="22"/>
        </patternFill>
      </fill>
    </dxf>
    <dxf>
      <fill>
        <patternFill>
          <bgColor indexed="25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bgColor indexed="47"/>
        </patternFill>
      </fill>
    </dxf>
  </dxfs>
  <tableStyles count="0" defaultTableStyle="TableStyleMedium2" defaultPivotStyle="PivotStyleLight16"/>
  <colors>
    <mruColors>
      <color rgb="FF0000CC"/>
      <color rgb="FFC0C0C0"/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362"/>
  <sheetViews>
    <sheetView showGridLines="0" tabSelected="1" topLeftCell="A32" workbookViewId="0">
      <selection activeCell="H53" sqref="H53:H71"/>
    </sheetView>
  </sheetViews>
  <sheetFormatPr baseColWidth="10" defaultColWidth="8.85546875" defaultRowHeight="10.199999999999999"/>
  <cols>
    <col min="1" max="2" width="2.7109375" customWidth="1"/>
    <col min="3" max="3" width="9.28515625" customWidth="1"/>
    <col min="4" max="4" width="28.7109375" style="4" bestFit="1" customWidth="1"/>
    <col min="5" max="6" width="9.28515625" customWidth="1"/>
    <col min="7" max="7" width="4" customWidth="1"/>
    <col min="8" max="8" width="58.140625" style="4" customWidth="1"/>
    <col min="11" max="11" width="28.7109375" customWidth="1"/>
    <col min="14" max="14" width="4" customWidth="1"/>
    <col min="15" max="15" width="45.140625" style="4" customWidth="1"/>
  </cols>
  <sheetData>
    <row r="3" spans="2:19">
      <c r="B3" s="3" t="s">
        <v>26</v>
      </c>
    </row>
    <row r="5" spans="2:19">
      <c r="C5" s="1" t="s">
        <v>24</v>
      </c>
      <c r="D5" s="5" t="s">
        <v>32</v>
      </c>
      <c r="E5" s="1" t="s">
        <v>25</v>
      </c>
      <c r="F5" s="1"/>
      <c r="H5" s="7" t="str">
        <f t="shared" ref="H5:H25" si="0">_xlfn.CONCAT(C5:F5)</f>
        <v>"ID_Dataset",</v>
      </c>
      <c r="I5" s="2"/>
      <c r="J5" s="2"/>
      <c r="K5" s="2"/>
      <c r="L5" s="2"/>
      <c r="M5" s="2"/>
      <c r="N5" s="2"/>
      <c r="O5" s="7"/>
      <c r="P5" s="2"/>
      <c r="Q5" s="2"/>
      <c r="R5" s="2"/>
      <c r="S5" s="2"/>
    </row>
    <row r="6" spans="2:19">
      <c r="C6" s="1" t="s">
        <v>24</v>
      </c>
      <c r="D6" s="5" t="s">
        <v>33</v>
      </c>
      <c r="E6" s="1" t="s">
        <v>25</v>
      </c>
      <c r="F6" s="1"/>
      <c r="H6" s="7" t="str">
        <f t="shared" si="0"/>
        <v>"Name_Variant",</v>
      </c>
      <c r="I6" s="2"/>
      <c r="J6" s="2"/>
      <c r="K6" s="2"/>
      <c r="L6" s="2"/>
      <c r="M6" s="2"/>
      <c r="N6" s="2"/>
      <c r="O6" s="7"/>
      <c r="P6" s="2"/>
      <c r="Q6" s="2"/>
      <c r="R6" s="2"/>
      <c r="S6" s="2"/>
    </row>
    <row r="7" spans="2:19">
      <c r="C7" s="1" t="s">
        <v>24</v>
      </c>
      <c r="D7" s="5" t="s">
        <v>34</v>
      </c>
      <c r="E7" s="1" t="s">
        <v>25</v>
      </c>
      <c r="F7" s="1"/>
      <c r="H7" s="7" t="str">
        <f t="shared" si="0"/>
        <v>"Year_State",</v>
      </c>
      <c r="I7" s="2"/>
      <c r="J7" s="2"/>
      <c r="K7" s="2"/>
      <c r="L7" s="2"/>
      <c r="M7" s="2"/>
      <c r="N7" s="2"/>
      <c r="O7" s="7"/>
      <c r="P7" s="2"/>
      <c r="Q7" s="2"/>
      <c r="R7" s="2"/>
      <c r="S7" s="2"/>
    </row>
    <row r="8" spans="2:19">
      <c r="C8" s="1" t="s">
        <v>24</v>
      </c>
      <c r="D8" s="5" t="s">
        <v>35</v>
      </c>
      <c r="E8" s="1" t="s">
        <v>25</v>
      </c>
      <c r="F8" s="1"/>
      <c r="H8" s="7" t="str">
        <f t="shared" ref="H8:H14" si="1">_xlfn.CONCAT(C8:F8)</f>
        <v>"Year_State_First",</v>
      </c>
      <c r="I8" s="2"/>
      <c r="J8" s="2"/>
      <c r="K8" s="2"/>
      <c r="L8" s="2"/>
      <c r="M8" s="2"/>
      <c r="N8" s="2"/>
      <c r="O8" s="7"/>
      <c r="P8" s="2"/>
      <c r="Q8" s="2"/>
      <c r="R8" s="2"/>
      <c r="S8" s="2"/>
    </row>
    <row r="9" spans="2:19">
      <c r="C9" s="1" t="s">
        <v>24</v>
      </c>
      <c r="D9" s="5" t="s">
        <v>36</v>
      </c>
      <c r="E9" s="1" t="s">
        <v>25</v>
      </c>
      <c r="F9" s="1"/>
      <c r="H9" s="7" t="str">
        <f t="shared" si="1"/>
        <v>"Year_State_Last",</v>
      </c>
      <c r="I9" s="2"/>
      <c r="J9" s="2"/>
      <c r="K9" s="2"/>
      <c r="L9" s="2"/>
      <c r="M9" s="2"/>
      <c r="N9" s="2"/>
      <c r="O9" s="7"/>
      <c r="P9" s="2"/>
      <c r="Q9" s="2"/>
      <c r="R9" s="2"/>
      <c r="S9" s="2"/>
    </row>
    <row r="10" spans="2:19">
      <c r="C10" s="1" t="s">
        <v>24</v>
      </c>
      <c r="D10" s="5" t="s">
        <v>37</v>
      </c>
      <c r="E10" s="1" t="s">
        <v>25</v>
      </c>
      <c r="F10" s="1"/>
      <c r="H10" s="7" t="str">
        <f t="shared" si="1"/>
        <v>"Year_Building",</v>
      </c>
      <c r="I10" s="2"/>
      <c r="J10" s="2"/>
      <c r="K10" s="2"/>
      <c r="L10" s="2"/>
      <c r="M10" s="2"/>
      <c r="N10" s="2"/>
      <c r="O10" s="7"/>
      <c r="P10" s="2"/>
      <c r="Q10" s="2"/>
      <c r="R10" s="2"/>
      <c r="S10" s="2"/>
    </row>
    <row r="11" spans="2:19">
      <c r="C11" s="1" t="s">
        <v>24</v>
      </c>
      <c r="D11" s="5" t="s">
        <v>38</v>
      </c>
      <c r="E11" s="1" t="s">
        <v>25</v>
      </c>
      <c r="F11" s="1"/>
      <c r="H11" s="7" t="str">
        <f t="shared" si="1"/>
        <v>"ID_Zone_LocationBuilding",</v>
      </c>
      <c r="I11" s="2"/>
      <c r="J11" s="2"/>
      <c r="K11" s="2"/>
      <c r="L11" s="2"/>
      <c r="M11" s="2"/>
      <c r="N11" s="2"/>
      <c r="O11" s="7"/>
      <c r="P11" s="2"/>
      <c r="Q11" s="2"/>
      <c r="R11" s="2"/>
      <c r="S11" s="2"/>
    </row>
    <row r="12" spans="2:19">
      <c r="C12" s="1" t="s">
        <v>24</v>
      </c>
      <c r="D12" s="5" t="s">
        <v>39</v>
      </c>
      <c r="E12" s="1" t="s">
        <v>25</v>
      </c>
      <c r="F12" s="1"/>
      <c r="H12" s="7" t="str">
        <f t="shared" si="1"/>
        <v>"n_Block",</v>
      </c>
      <c r="I12" s="2"/>
      <c r="J12" s="2"/>
      <c r="K12" s="2"/>
      <c r="L12" s="2"/>
      <c r="M12" s="2"/>
      <c r="N12" s="2"/>
      <c r="O12" s="7"/>
      <c r="P12" s="2"/>
      <c r="Q12" s="2"/>
      <c r="R12" s="2"/>
      <c r="S12" s="2"/>
    </row>
    <row r="13" spans="2:19">
      <c r="C13" s="1" t="s">
        <v>24</v>
      </c>
      <c r="D13" s="5" t="s">
        <v>40</v>
      </c>
      <c r="E13" s="1" t="s">
        <v>25</v>
      </c>
      <c r="F13" s="1"/>
      <c r="H13" s="7" t="str">
        <f t="shared" si="1"/>
        <v>"n_House",</v>
      </c>
      <c r="I13" s="2"/>
      <c r="J13" s="2"/>
      <c r="K13" s="2"/>
      <c r="L13" s="2"/>
      <c r="M13" s="2"/>
      <c r="N13" s="2"/>
      <c r="O13" s="7"/>
      <c r="P13" s="2"/>
      <c r="Q13" s="2"/>
      <c r="R13" s="2"/>
      <c r="S13" s="2"/>
    </row>
    <row r="14" spans="2:19">
      <c r="C14" s="1" t="s">
        <v>24</v>
      </c>
      <c r="D14" s="5" t="s">
        <v>41</v>
      </c>
      <c r="E14" s="1" t="s">
        <v>25</v>
      </c>
      <c r="F14" s="1"/>
      <c r="H14" s="7" t="str">
        <f t="shared" si="1"/>
        <v>"n_Storey",</v>
      </c>
      <c r="I14" s="2"/>
      <c r="J14" s="2"/>
      <c r="K14" s="2"/>
      <c r="L14" s="2"/>
      <c r="M14" s="2"/>
      <c r="N14" s="2"/>
      <c r="O14" s="7"/>
      <c r="P14" s="2"/>
      <c r="Q14" s="2"/>
      <c r="R14" s="2"/>
      <c r="S14" s="2"/>
    </row>
    <row r="15" spans="2:19">
      <c r="C15" s="1" t="s">
        <v>24</v>
      </c>
      <c r="D15" s="5" t="s">
        <v>42</v>
      </c>
      <c r="E15" s="1" t="s">
        <v>25</v>
      </c>
      <c r="F15" s="1"/>
      <c r="H15" s="7" t="str">
        <f t="shared" si="0"/>
        <v>"n_Dwelling",</v>
      </c>
      <c r="I15" s="2"/>
      <c r="J15" s="2"/>
      <c r="K15" s="2"/>
      <c r="L15" s="2"/>
      <c r="M15" s="2"/>
      <c r="N15" s="2"/>
      <c r="O15" s="7"/>
      <c r="P15" s="2"/>
      <c r="Q15" s="2"/>
      <c r="R15" s="2"/>
      <c r="S15" s="2"/>
    </row>
    <row r="16" spans="2:19">
      <c r="C16" s="1" t="s">
        <v>24</v>
      </c>
      <c r="D16" s="5" t="s">
        <v>43</v>
      </c>
      <c r="E16" s="1" t="s">
        <v>25</v>
      </c>
      <c r="F16" s="1"/>
      <c r="H16" s="7" t="str">
        <f t="shared" si="0"/>
        <v>"A_C_Floor_Intake",</v>
      </c>
      <c r="I16" s="2"/>
      <c r="J16" s="2"/>
      <c r="K16" s="2"/>
      <c r="L16" s="2"/>
      <c r="M16" s="2"/>
      <c r="N16" s="2"/>
      <c r="O16" s="7"/>
      <c r="P16" s="2"/>
      <c r="Q16" s="2"/>
      <c r="R16" s="2"/>
      <c r="S16" s="2"/>
    </row>
    <row r="17" spans="3:19">
      <c r="C17" s="1" t="s">
        <v>24</v>
      </c>
      <c r="D17" s="5" t="s">
        <v>44</v>
      </c>
      <c r="E17" s="1" t="s">
        <v>25</v>
      </c>
      <c r="F17" s="1"/>
      <c r="H17" s="7" t="str">
        <f t="shared" si="0"/>
        <v>"Code_TypeFloorArea_A_C_Floor_Intake",</v>
      </c>
      <c r="I17" s="2"/>
      <c r="J17" s="2"/>
      <c r="K17" s="2"/>
      <c r="L17" s="2"/>
      <c r="M17" s="2"/>
      <c r="N17" s="2"/>
      <c r="O17" s="7"/>
      <c r="P17" s="2"/>
      <c r="Q17" s="2"/>
      <c r="R17" s="2"/>
      <c r="S17" s="2"/>
    </row>
    <row r="18" spans="3:19">
      <c r="C18" s="1" t="s">
        <v>24</v>
      </c>
      <c r="D18" s="5" t="s">
        <v>45</v>
      </c>
      <c r="E18" s="1" t="s">
        <v>25</v>
      </c>
      <c r="F18" s="1"/>
      <c r="H18" s="7" t="str">
        <f t="shared" si="0"/>
        <v>"Code_BuildingPart_A_C_Floor_Intake",</v>
      </c>
      <c r="I18" s="2"/>
      <c r="J18" s="2"/>
      <c r="K18" s="2"/>
      <c r="L18" s="2"/>
      <c r="M18" s="2"/>
      <c r="N18" s="2"/>
      <c r="O18" s="7"/>
      <c r="P18" s="2"/>
      <c r="Q18" s="2"/>
      <c r="R18" s="2"/>
      <c r="S18" s="2"/>
    </row>
    <row r="19" spans="3:19">
      <c r="C19" s="1" t="s">
        <v>24</v>
      </c>
      <c r="D19" s="5" t="s">
        <v>46</v>
      </c>
      <c r="E19" s="1" t="s">
        <v>25</v>
      </c>
      <c r="F19" s="1"/>
      <c r="H19" s="7" t="str">
        <f t="shared" si="0"/>
        <v>"Code_AttachedNeighbours",</v>
      </c>
      <c r="I19" s="2"/>
      <c r="J19" s="2"/>
      <c r="K19" s="2"/>
      <c r="L19" s="2"/>
      <c r="M19" s="2"/>
      <c r="N19" s="2"/>
      <c r="O19" s="7"/>
      <c r="P19" s="2"/>
      <c r="Q19" s="2"/>
      <c r="R19" s="2"/>
      <c r="S19" s="2"/>
    </row>
    <row r="20" spans="3:19">
      <c r="C20" s="1" t="s">
        <v>24</v>
      </c>
      <c r="D20" s="5" t="s">
        <v>47</v>
      </c>
      <c r="E20" s="1" t="s">
        <v>25</v>
      </c>
      <c r="F20" s="1"/>
      <c r="H20" s="7" t="str">
        <f t="shared" si="0"/>
        <v>"Code_ComplexFootprint",</v>
      </c>
      <c r="I20" s="2"/>
      <c r="J20" s="2"/>
      <c r="K20" s="2"/>
      <c r="L20" s="2"/>
      <c r="M20" s="2"/>
      <c r="N20" s="2"/>
      <c r="O20" s="7"/>
      <c r="P20" s="2"/>
      <c r="Q20" s="2"/>
      <c r="R20" s="2"/>
      <c r="S20" s="2"/>
    </row>
    <row r="21" spans="3:19">
      <c r="C21" s="1" t="s">
        <v>24</v>
      </c>
      <c r="D21" s="5" t="s">
        <v>48</v>
      </c>
      <c r="E21" s="1" t="s">
        <v>25</v>
      </c>
      <c r="F21" s="1"/>
      <c r="H21" s="7" t="str">
        <f t="shared" si="0"/>
        <v>"Code_AtticCond",</v>
      </c>
      <c r="I21" s="2"/>
      <c r="J21" s="2"/>
      <c r="K21" s="2"/>
      <c r="L21" s="2"/>
      <c r="M21" s="2"/>
      <c r="N21" s="2"/>
      <c r="O21" s="7"/>
      <c r="P21" s="2"/>
      <c r="Q21" s="2"/>
      <c r="R21" s="2"/>
      <c r="S21" s="2"/>
    </row>
    <row r="22" spans="3:19">
      <c r="C22" s="1" t="s">
        <v>24</v>
      </c>
      <c r="D22" s="5" t="s">
        <v>49</v>
      </c>
      <c r="E22" s="1" t="s">
        <v>25</v>
      </c>
      <c r="F22" s="1"/>
      <c r="H22" s="7" t="str">
        <f t="shared" si="0"/>
        <v>"Code_ComplexRoof",</v>
      </c>
      <c r="I22" s="2"/>
      <c r="J22" s="2"/>
      <c r="K22" s="2"/>
      <c r="L22" s="2"/>
      <c r="M22" s="2"/>
      <c r="N22" s="2"/>
      <c r="O22" s="7"/>
      <c r="P22" s="2"/>
      <c r="Q22" s="2"/>
      <c r="R22" s="2"/>
      <c r="S22" s="2"/>
    </row>
    <row r="23" spans="3:19">
      <c r="C23" s="1" t="s">
        <v>24</v>
      </c>
      <c r="D23" s="5" t="s">
        <v>50</v>
      </c>
      <c r="E23" s="1" t="s">
        <v>25</v>
      </c>
      <c r="F23" s="1"/>
      <c r="H23" s="7" t="str">
        <f t="shared" si="0"/>
        <v>"Code_CellarCond",</v>
      </c>
      <c r="I23" s="2"/>
      <c r="J23" s="2"/>
      <c r="K23" s="2"/>
      <c r="L23" s="2"/>
      <c r="M23" s="2"/>
      <c r="N23" s="2"/>
      <c r="O23" s="7"/>
      <c r="P23" s="2"/>
      <c r="Q23" s="2"/>
      <c r="R23" s="2"/>
      <c r="S23" s="2"/>
    </row>
    <row r="24" spans="3:19">
      <c r="C24" s="1" t="s">
        <v>24</v>
      </c>
      <c r="D24" s="5" t="s">
        <v>51</v>
      </c>
      <c r="E24" s="1" t="s">
        <v>25</v>
      </c>
      <c r="F24" s="1"/>
      <c r="H24" s="7" t="str">
        <f t="shared" si="0"/>
        <v>"Indicator_Cellar_Insulated",</v>
      </c>
      <c r="I24" s="2"/>
      <c r="J24" s="2"/>
      <c r="K24" s="2"/>
      <c r="L24" s="2"/>
      <c r="M24" s="2"/>
      <c r="N24" s="2"/>
      <c r="O24" s="7"/>
      <c r="P24" s="2"/>
      <c r="Q24" s="2"/>
      <c r="R24" s="2"/>
      <c r="S24" s="2"/>
    </row>
    <row r="25" spans="3:19">
      <c r="C25" s="1" t="s">
        <v>24</v>
      </c>
      <c r="D25" s="5" t="s">
        <v>52</v>
      </c>
      <c r="E25" s="1" t="s">
        <v>25</v>
      </c>
      <c r="F25" s="1"/>
      <c r="H25" s="7" t="str">
        <f t="shared" si="0"/>
        <v>"h_Ceiling",</v>
      </c>
      <c r="I25" s="2"/>
      <c r="J25" s="2"/>
      <c r="K25" s="2"/>
      <c r="L25" s="2"/>
      <c r="M25" s="2"/>
      <c r="N25" s="2"/>
      <c r="O25" s="7"/>
      <c r="P25" s="2"/>
      <c r="Q25" s="2"/>
      <c r="R25" s="2"/>
      <c r="S25" s="2"/>
    </row>
    <row r="26" spans="3:19">
      <c r="C26" s="1" t="s">
        <v>24</v>
      </c>
      <c r="D26" s="5" t="s">
        <v>0</v>
      </c>
      <c r="E26" s="1" t="s">
        <v>25</v>
      </c>
      <c r="F26" s="1"/>
      <c r="H26" s="7" t="str">
        <f>_xlfn.CONCAT(C26:F26)</f>
        <v>"Indicator_Roof_Constr_Massive",</v>
      </c>
      <c r="I26" s="2"/>
      <c r="J26" s="2"/>
      <c r="K26" s="2"/>
      <c r="L26" s="2"/>
      <c r="M26" s="2"/>
      <c r="N26" s="2"/>
      <c r="O26" s="7"/>
      <c r="P26" s="2"/>
      <c r="Q26" s="2"/>
      <c r="R26" s="2"/>
      <c r="S26" s="2"/>
    </row>
    <row r="27" spans="3:19">
      <c r="C27" s="1" t="s">
        <v>24</v>
      </c>
      <c r="D27" s="5" t="s">
        <v>1</v>
      </c>
      <c r="E27" s="1" t="s">
        <v>25</v>
      </c>
      <c r="F27" s="1"/>
      <c r="H27" s="7" t="str">
        <f t="shared" ref="H27:H51" si="2">_xlfn.CONCAT(C27:F27)</f>
        <v>"Indicator_Roof_Constr_Wood",</v>
      </c>
      <c r="I27" s="2"/>
      <c r="J27" s="2"/>
      <c r="K27" s="2"/>
      <c r="L27" s="2"/>
      <c r="M27" s="2"/>
      <c r="N27" s="2"/>
      <c r="O27" s="7"/>
      <c r="P27" s="2"/>
      <c r="Q27" s="2"/>
      <c r="R27" s="2"/>
      <c r="S27" s="2"/>
    </row>
    <row r="28" spans="3:19">
      <c r="C28" s="1" t="s">
        <v>24</v>
      </c>
      <c r="D28" s="5" t="s">
        <v>2</v>
      </c>
      <c r="E28" s="1" t="s">
        <v>25</v>
      </c>
      <c r="F28" s="1"/>
      <c r="H28" s="7" t="str">
        <f t="shared" si="2"/>
        <v>"Indicator_Ceiling_Constr_Massive",</v>
      </c>
      <c r="I28" s="2"/>
      <c r="J28" s="2"/>
      <c r="K28" s="2"/>
      <c r="L28" s="2"/>
      <c r="M28" s="2"/>
      <c r="N28" s="2"/>
      <c r="O28" s="7"/>
      <c r="P28" s="2"/>
      <c r="Q28" s="2"/>
      <c r="R28" s="2"/>
      <c r="S28" s="2"/>
    </row>
    <row r="29" spans="3:19">
      <c r="C29" s="1" t="s">
        <v>24</v>
      </c>
      <c r="D29" s="5" t="s">
        <v>3</v>
      </c>
      <c r="E29" s="1" t="s">
        <v>25</v>
      </c>
      <c r="F29" s="1"/>
      <c r="H29" s="7" t="str">
        <f t="shared" si="2"/>
        <v>"Indicator_Ceiling_Constr_Wood",</v>
      </c>
      <c r="I29" s="2"/>
      <c r="J29" s="2"/>
      <c r="K29" s="2"/>
      <c r="L29" s="2"/>
      <c r="M29" s="2"/>
      <c r="N29" s="2"/>
      <c r="O29" s="7"/>
      <c r="P29" s="2"/>
      <c r="Q29" s="2"/>
      <c r="R29" s="2"/>
      <c r="S29" s="2"/>
    </row>
    <row r="30" spans="3:19">
      <c r="C30" s="1" t="s">
        <v>24</v>
      </c>
      <c r="D30" s="5" t="s">
        <v>4</v>
      </c>
      <c r="E30" s="1" t="s">
        <v>25</v>
      </c>
      <c r="F30" s="1"/>
      <c r="H30" s="7" t="str">
        <f t="shared" si="2"/>
        <v>"Indicator_Wall_Constr_Massive",</v>
      </c>
      <c r="I30" s="2"/>
      <c r="J30" s="2"/>
      <c r="K30" s="2"/>
      <c r="L30" s="2"/>
      <c r="M30" s="2"/>
      <c r="N30" s="2"/>
      <c r="O30" s="7"/>
      <c r="P30" s="2"/>
      <c r="Q30" s="2"/>
      <c r="R30" s="2"/>
      <c r="S30" s="2"/>
    </row>
    <row r="31" spans="3:19">
      <c r="C31" s="1" t="s">
        <v>24</v>
      </c>
      <c r="D31" s="5" t="s">
        <v>5</v>
      </c>
      <c r="E31" s="1" t="s">
        <v>25</v>
      </c>
      <c r="F31" s="1"/>
      <c r="H31" s="7" t="str">
        <f t="shared" si="2"/>
        <v>"Indicator_Wall_Constr_Wood",</v>
      </c>
      <c r="I31" s="2"/>
      <c r="J31" s="2"/>
      <c r="K31" s="2"/>
      <c r="L31" s="2"/>
      <c r="M31" s="2"/>
      <c r="N31" s="2"/>
      <c r="O31" s="7"/>
      <c r="P31" s="2"/>
      <c r="Q31" s="2"/>
      <c r="R31" s="2"/>
      <c r="S31" s="2"/>
    </row>
    <row r="32" spans="3:19">
      <c r="C32" s="1" t="s">
        <v>24</v>
      </c>
      <c r="D32" s="5" t="s">
        <v>6</v>
      </c>
      <c r="E32" s="1" t="s">
        <v>25</v>
      </c>
      <c r="F32" s="1"/>
      <c r="H32" s="7" t="str">
        <f t="shared" si="2"/>
        <v>"Indicator_Floor_Constr_Massive",</v>
      </c>
      <c r="I32" s="2"/>
      <c r="J32" s="2"/>
      <c r="K32" s="2"/>
      <c r="L32" s="2"/>
      <c r="M32" s="2"/>
      <c r="N32" s="2"/>
      <c r="O32" s="7"/>
      <c r="P32" s="2"/>
      <c r="Q32" s="2"/>
      <c r="R32" s="2"/>
      <c r="S32" s="2"/>
    </row>
    <row r="33" spans="3:19">
      <c r="C33" s="1" t="s">
        <v>24</v>
      </c>
      <c r="D33" s="5" t="s">
        <v>7</v>
      </c>
      <c r="E33" s="1" t="s">
        <v>25</v>
      </c>
      <c r="F33" s="1"/>
      <c r="H33" s="7" t="str">
        <f t="shared" si="2"/>
        <v>"Indicator_Floor_Constr_Wood",</v>
      </c>
      <c r="I33" s="2"/>
      <c r="J33" s="2"/>
      <c r="K33" s="2"/>
      <c r="L33" s="2"/>
      <c r="M33" s="2"/>
      <c r="N33" s="2"/>
      <c r="O33" s="7"/>
      <c r="P33" s="2"/>
      <c r="Q33" s="2"/>
      <c r="R33" s="2"/>
      <c r="S33" s="2"/>
    </row>
    <row r="34" spans="3:19">
      <c r="C34" s="1" t="s">
        <v>24</v>
      </c>
      <c r="D34" s="5" t="s">
        <v>8</v>
      </c>
      <c r="E34" s="1" t="s">
        <v>25</v>
      </c>
      <c r="F34" s="1"/>
      <c r="H34" s="7" t="str">
        <f t="shared" si="2"/>
        <v>"Code_InsulationType_Roof",</v>
      </c>
      <c r="I34" s="2"/>
      <c r="J34" s="2"/>
      <c r="K34" s="2"/>
      <c r="L34" s="2"/>
      <c r="M34" s="2"/>
      <c r="N34" s="2"/>
      <c r="O34" s="7"/>
      <c r="P34" s="2"/>
      <c r="Q34" s="2"/>
      <c r="R34" s="2"/>
      <c r="S34" s="2"/>
    </row>
    <row r="35" spans="3:19">
      <c r="C35" s="1" t="s">
        <v>24</v>
      </c>
      <c r="D35" s="5" t="s">
        <v>9</v>
      </c>
      <c r="E35" s="1" t="s">
        <v>25</v>
      </c>
      <c r="F35" s="1"/>
      <c r="H35" s="7" t="str">
        <f t="shared" si="2"/>
        <v>"Code_InsulationType_Ceiling",</v>
      </c>
      <c r="I35" s="2"/>
      <c r="J35" s="2"/>
      <c r="K35" s="2"/>
      <c r="L35" s="2"/>
      <c r="M35" s="2"/>
      <c r="N35" s="2"/>
      <c r="O35" s="7"/>
      <c r="P35" s="2"/>
      <c r="Q35" s="2"/>
      <c r="R35" s="2"/>
      <c r="S35" s="2"/>
    </row>
    <row r="36" spans="3:19">
      <c r="C36" s="1" t="s">
        <v>24</v>
      </c>
      <c r="D36" s="5" t="s">
        <v>10</v>
      </c>
      <c r="E36" s="1" t="s">
        <v>25</v>
      </c>
      <c r="F36" s="1"/>
      <c r="H36" s="7" t="str">
        <f t="shared" si="2"/>
        <v>"Code_InsulationType_Wall",</v>
      </c>
      <c r="I36" s="2"/>
      <c r="J36" s="2"/>
      <c r="K36" s="2"/>
      <c r="L36" s="2"/>
      <c r="M36" s="2"/>
      <c r="N36" s="2"/>
      <c r="O36" s="7"/>
      <c r="P36" s="2"/>
      <c r="Q36" s="2"/>
      <c r="R36" s="2"/>
      <c r="S36" s="2"/>
    </row>
    <row r="37" spans="3:19">
      <c r="C37" s="1" t="s">
        <v>24</v>
      </c>
      <c r="D37" s="5" t="s">
        <v>11</v>
      </c>
      <c r="E37" s="1" t="s">
        <v>25</v>
      </c>
      <c r="F37" s="1"/>
      <c r="H37" s="7" t="str">
        <f t="shared" si="2"/>
        <v>"Code_InsulationType_Floor",</v>
      </c>
      <c r="I37" s="2"/>
      <c r="J37" s="2"/>
      <c r="K37" s="2"/>
      <c r="L37" s="2"/>
      <c r="M37" s="2"/>
      <c r="N37" s="2"/>
      <c r="O37" s="7"/>
      <c r="P37" s="2"/>
      <c r="Q37" s="2"/>
      <c r="R37" s="2"/>
      <c r="S37" s="2"/>
    </row>
    <row r="38" spans="3:19">
      <c r="C38" s="1" t="s">
        <v>24</v>
      </c>
      <c r="D38" s="5" t="s">
        <v>12</v>
      </c>
      <c r="E38" s="1" t="s">
        <v>25</v>
      </c>
      <c r="F38" s="1"/>
      <c r="H38" s="7" t="str">
        <f t="shared" si="2"/>
        <v>"Year_Refurbishment_Roof",</v>
      </c>
      <c r="I38" s="2"/>
      <c r="J38" s="2"/>
      <c r="K38" s="2"/>
      <c r="L38" s="2"/>
      <c r="M38" s="2"/>
      <c r="N38" s="2"/>
      <c r="O38" s="7"/>
      <c r="P38" s="2"/>
      <c r="Q38" s="2"/>
      <c r="R38" s="2"/>
      <c r="S38" s="2"/>
    </row>
    <row r="39" spans="3:19">
      <c r="C39" s="1" t="s">
        <v>24</v>
      </c>
      <c r="D39" s="5" t="s">
        <v>13</v>
      </c>
      <c r="E39" s="1" t="s">
        <v>25</v>
      </c>
      <c r="F39" s="1"/>
      <c r="H39" s="7" t="str">
        <f t="shared" si="2"/>
        <v>"Year_Refurbishment_Ceiling",</v>
      </c>
      <c r="I39" s="2"/>
      <c r="J39" s="2"/>
      <c r="K39" s="2"/>
      <c r="L39" s="2"/>
      <c r="M39" s="2"/>
      <c r="N39" s="2"/>
      <c r="O39" s="7"/>
      <c r="P39" s="2"/>
      <c r="Q39" s="2"/>
      <c r="R39" s="2"/>
      <c r="S39" s="2"/>
    </row>
    <row r="40" spans="3:19">
      <c r="C40" s="1" t="s">
        <v>24</v>
      </c>
      <c r="D40" s="5" t="s">
        <v>14</v>
      </c>
      <c r="E40" s="1" t="s">
        <v>25</v>
      </c>
      <c r="F40" s="1"/>
      <c r="H40" s="7" t="str">
        <f t="shared" si="2"/>
        <v>"Year_Refurbishment_Wall",</v>
      </c>
      <c r="I40" s="2"/>
      <c r="J40" s="2"/>
      <c r="K40" s="2"/>
      <c r="L40" s="2"/>
      <c r="M40" s="2"/>
      <c r="N40" s="2"/>
      <c r="O40" s="7"/>
      <c r="P40" s="2"/>
      <c r="Q40" s="2"/>
      <c r="R40" s="2"/>
      <c r="S40" s="2"/>
    </row>
    <row r="41" spans="3:19">
      <c r="C41" s="1" t="s">
        <v>24</v>
      </c>
      <c r="D41" s="5" t="s">
        <v>15</v>
      </c>
      <c r="E41" s="1" t="s">
        <v>25</v>
      </c>
      <c r="F41" s="1"/>
      <c r="H41" s="7" t="str">
        <f t="shared" si="2"/>
        <v>"Year_Refurbishment_Floor",</v>
      </c>
      <c r="I41" s="2"/>
      <c r="J41" s="2"/>
      <c r="K41" s="2"/>
      <c r="L41" s="2"/>
      <c r="M41" s="2"/>
      <c r="N41" s="2"/>
      <c r="O41" s="7"/>
      <c r="P41" s="2"/>
      <c r="Q41" s="2"/>
      <c r="R41" s="2"/>
      <c r="S41" s="2"/>
    </row>
    <row r="42" spans="3:19">
      <c r="C42" s="1" t="s">
        <v>24</v>
      </c>
      <c r="D42" s="5" t="s">
        <v>16</v>
      </c>
      <c r="E42" s="1" t="s">
        <v>25</v>
      </c>
      <c r="F42" s="1"/>
      <c r="H42" s="7" t="str">
        <f t="shared" si="2"/>
        <v>"d_Insulation_Roof",</v>
      </c>
      <c r="I42" s="2"/>
      <c r="J42" s="2"/>
      <c r="K42" s="2"/>
      <c r="L42" s="2"/>
      <c r="M42" s="2"/>
      <c r="N42" s="2"/>
      <c r="O42" s="7"/>
      <c r="P42" s="2"/>
      <c r="Q42" s="2"/>
      <c r="R42" s="2"/>
      <c r="S42" s="2"/>
    </row>
    <row r="43" spans="3:19">
      <c r="C43" s="1" t="s">
        <v>24</v>
      </c>
      <c r="D43" s="5" t="s">
        <v>17</v>
      </c>
      <c r="E43" s="1" t="s">
        <v>25</v>
      </c>
      <c r="F43" s="1"/>
      <c r="H43" s="7" t="str">
        <f t="shared" si="2"/>
        <v>"d_Insulation_Ceiling",</v>
      </c>
      <c r="I43" s="2"/>
      <c r="J43" s="2"/>
      <c r="K43" s="2"/>
      <c r="L43" s="2"/>
      <c r="M43" s="2"/>
      <c r="N43" s="2"/>
      <c r="O43" s="7"/>
      <c r="P43" s="2"/>
      <c r="Q43" s="2"/>
      <c r="R43" s="2"/>
      <c r="S43" s="2"/>
    </row>
    <row r="44" spans="3:19">
      <c r="C44" s="1" t="s">
        <v>24</v>
      </c>
      <c r="D44" s="5" t="s">
        <v>18</v>
      </c>
      <c r="E44" s="1" t="s">
        <v>25</v>
      </c>
      <c r="F44" s="1"/>
      <c r="H44" s="7" t="str">
        <f t="shared" si="2"/>
        <v>"d_Insulation_Wall",</v>
      </c>
      <c r="I44" s="2"/>
      <c r="J44" s="2"/>
      <c r="K44" s="2"/>
      <c r="L44" s="2"/>
      <c r="M44" s="2"/>
      <c r="N44" s="2"/>
      <c r="O44" s="7"/>
      <c r="P44" s="2"/>
      <c r="Q44" s="2"/>
      <c r="R44" s="2"/>
      <c r="S44" s="2"/>
    </row>
    <row r="45" spans="3:19">
      <c r="C45" s="1" t="s">
        <v>24</v>
      </c>
      <c r="D45" s="5" t="s">
        <v>19</v>
      </c>
      <c r="E45" s="1" t="s">
        <v>25</v>
      </c>
      <c r="F45" s="1"/>
      <c r="H45" s="7" t="str">
        <f t="shared" si="2"/>
        <v>"d_Insulation_Floor",</v>
      </c>
      <c r="I45" s="2"/>
      <c r="J45" s="2"/>
      <c r="K45" s="2"/>
      <c r="L45" s="2"/>
      <c r="M45" s="2"/>
      <c r="N45" s="2"/>
      <c r="O45" s="7"/>
      <c r="P45" s="2"/>
      <c r="Q45" s="2"/>
      <c r="R45" s="2"/>
      <c r="S45" s="2"/>
    </row>
    <row r="46" spans="3:19">
      <c r="C46" s="1" t="s">
        <v>24</v>
      </c>
      <c r="D46" s="5" t="s">
        <v>20</v>
      </c>
      <c r="E46" s="1" t="s">
        <v>25</v>
      </c>
      <c r="F46" s="1"/>
      <c r="H46" s="7" t="str">
        <f t="shared" si="2"/>
        <v>"f_Insulation_Roof",</v>
      </c>
      <c r="I46" s="2"/>
      <c r="J46" s="2"/>
      <c r="K46" s="2"/>
      <c r="L46" s="2"/>
      <c r="M46" s="2"/>
      <c r="N46" s="2"/>
      <c r="O46" s="7"/>
      <c r="P46" s="2"/>
      <c r="Q46" s="2"/>
      <c r="R46" s="2"/>
      <c r="S46" s="2"/>
    </row>
    <row r="47" spans="3:19">
      <c r="C47" s="1" t="s">
        <v>24</v>
      </c>
      <c r="D47" s="5" t="s">
        <v>21</v>
      </c>
      <c r="E47" s="1" t="s">
        <v>25</v>
      </c>
      <c r="F47" s="1"/>
      <c r="H47" s="7" t="str">
        <f t="shared" si="2"/>
        <v>"f_Insulation_Ceiling",</v>
      </c>
      <c r="I47" s="2"/>
      <c r="J47" s="2"/>
      <c r="K47" s="2"/>
      <c r="L47" s="2"/>
      <c r="M47" s="2"/>
      <c r="N47" s="2"/>
      <c r="O47" s="7"/>
      <c r="P47" s="2"/>
      <c r="Q47" s="2"/>
      <c r="R47" s="2"/>
      <c r="S47" s="2"/>
    </row>
    <row r="48" spans="3:19">
      <c r="C48" s="1" t="s">
        <v>24</v>
      </c>
      <c r="D48" s="5" t="s">
        <v>22</v>
      </c>
      <c r="E48" s="1" t="s">
        <v>25</v>
      </c>
      <c r="F48" s="1"/>
      <c r="H48" s="7" t="str">
        <f t="shared" si="2"/>
        <v>"f_Insulation_Wall",</v>
      </c>
      <c r="I48" s="2"/>
      <c r="J48" s="2"/>
      <c r="K48" s="2"/>
      <c r="L48" s="2"/>
      <c r="M48" s="2"/>
      <c r="N48" s="2"/>
      <c r="O48" s="7"/>
      <c r="P48" s="2"/>
      <c r="Q48" s="2"/>
      <c r="R48" s="2"/>
      <c r="S48" s="2"/>
    </row>
    <row r="49" spans="3:19">
      <c r="C49" s="1" t="s">
        <v>24</v>
      </c>
      <c r="D49" s="5" t="s">
        <v>23</v>
      </c>
      <c r="E49" s="1" t="s">
        <v>25</v>
      </c>
      <c r="F49" s="1"/>
      <c r="H49" s="7" t="str">
        <f t="shared" si="2"/>
        <v>"f_Insulation_Floor",</v>
      </c>
      <c r="I49" s="2"/>
      <c r="J49" s="2"/>
      <c r="K49" s="2"/>
      <c r="L49" s="2"/>
      <c r="M49" s="2"/>
      <c r="N49" s="2"/>
      <c r="O49" s="7"/>
      <c r="P49" s="2"/>
      <c r="Q49" s="2"/>
      <c r="R49" s="2"/>
      <c r="S49" s="2"/>
    </row>
    <row r="50" spans="3:19">
      <c r="C50" s="1" t="s">
        <v>24</v>
      </c>
      <c r="D50" s="5"/>
      <c r="E50" s="1" t="s">
        <v>25</v>
      </c>
      <c r="F50" s="1"/>
      <c r="H50" s="7" t="str">
        <f t="shared" si="2"/>
        <v>"",</v>
      </c>
      <c r="I50" s="2"/>
      <c r="J50" s="2"/>
      <c r="K50" s="2"/>
      <c r="L50" s="2"/>
      <c r="M50" s="2"/>
      <c r="N50" s="2"/>
      <c r="O50" s="7"/>
      <c r="P50" s="2"/>
      <c r="Q50" s="2"/>
      <c r="R50" s="2"/>
      <c r="S50" s="2"/>
    </row>
    <row r="51" spans="3:19">
      <c r="C51" s="1" t="s">
        <v>24</v>
      </c>
      <c r="D51" s="5"/>
      <c r="E51" s="1" t="s">
        <v>25</v>
      </c>
      <c r="F51" s="1"/>
      <c r="H51" s="7" t="str">
        <f t="shared" si="2"/>
        <v>"",</v>
      </c>
      <c r="I51" s="2"/>
      <c r="J51" s="2"/>
      <c r="K51" s="2"/>
      <c r="L51" s="2"/>
      <c r="M51" s="2"/>
      <c r="N51" s="2"/>
      <c r="O51" s="7"/>
      <c r="P51" s="2"/>
      <c r="Q51" s="2"/>
      <c r="R51" s="2"/>
      <c r="S51" s="2"/>
    </row>
    <row r="53" spans="3:19">
      <c r="C53" s="1" t="s">
        <v>24</v>
      </c>
      <c r="D53" s="5" t="s">
        <v>281</v>
      </c>
      <c r="E53" s="1" t="s">
        <v>25</v>
      </c>
      <c r="F53" s="1"/>
      <c r="H53" s="7" t="str">
        <f t="shared" ref="H53:H96" si="3">_xlfn.CONCAT(C53:F53)</f>
        <v>"Code_CentralisationType_SysHG",</v>
      </c>
      <c r="I53" s="2"/>
      <c r="J53" s="2"/>
      <c r="K53" s="2"/>
      <c r="L53" s="2"/>
      <c r="M53" s="2"/>
      <c r="N53" s="2"/>
      <c r="O53" s="7"/>
      <c r="P53" s="2"/>
      <c r="Q53" s="2"/>
      <c r="R53" s="2"/>
      <c r="S53" s="2"/>
    </row>
    <row r="54" spans="3:19">
      <c r="C54" s="1"/>
      <c r="D54" s="5"/>
      <c r="E54" s="1"/>
      <c r="F54" s="1"/>
      <c r="H54" s="7" t="str">
        <f t="shared" si="3"/>
        <v/>
      </c>
      <c r="I54" s="2"/>
      <c r="J54" s="2"/>
      <c r="K54" s="2"/>
      <c r="L54" s="2"/>
      <c r="M54" s="2"/>
      <c r="N54" s="2"/>
      <c r="O54" s="7"/>
      <c r="P54" s="2"/>
      <c r="Q54" s="2"/>
      <c r="R54" s="2"/>
      <c r="S54" s="2"/>
    </row>
    <row r="55" spans="3:19">
      <c r="C55" s="1" t="s">
        <v>24</v>
      </c>
      <c r="D55" s="5" t="s">
        <v>282</v>
      </c>
      <c r="E55" s="1" t="s">
        <v>25</v>
      </c>
      <c r="F55" s="1"/>
      <c r="H55" s="7" t="str">
        <f t="shared" si="3"/>
        <v>"Indicator_Storage_SysH",</v>
      </c>
      <c r="I55" s="2"/>
      <c r="J55" s="2"/>
      <c r="K55" s="2"/>
      <c r="L55" s="2"/>
      <c r="M55" s="2"/>
      <c r="N55" s="2"/>
      <c r="O55" s="7"/>
      <c r="P55" s="2"/>
      <c r="Q55" s="2"/>
      <c r="R55" s="2"/>
      <c r="S55" s="2"/>
    </row>
    <row r="56" spans="3:19">
      <c r="C56" s="1" t="s">
        <v>24</v>
      </c>
      <c r="D56" s="5" t="s">
        <v>283</v>
      </c>
      <c r="E56" s="1" t="s">
        <v>25</v>
      </c>
      <c r="F56" s="1"/>
      <c r="H56" s="7" t="str">
        <f t="shared" si="3"/>
        <v>"Indicator_Storage_SysH_Immersion",</v>
      </c>
      <c r="I56" s="2"/>
      <c r="J56" s="2"/>
      <c r="K56" s="2"/>
      <c r="L56" s="2"/>
      <c r="M56" s="2"/>
      <c r="N56" s="2"/>
      <c r="O56" s="7"/>
      <c r="P56" s="2"/>
      <c r="Q56" s="2"/>
      <c r="R56" s="2"/>
      <c r="S56" s="2"/>
    </row>
    <row r="57" spans="3:19">
      <c r="C57" s="1" t="s">
        <v>24</v>
      </c>
      <c r="D57" s="5" t="s">
        <v>284</v>
      </c>
      <c r="E57" s="1" t="s">
        <v>25</v>
      </c>
      <c r="F57" s="1"/>
      <c r="H57" s="7" t="str">
        <f t="shared" si="3"/>
        <v>"Indicator_Storage_SysH_InsideEnvelope",</v>
      </c>
      <c r="I57" s="2"/>
      <c r="J57" s="2"/>
      <c r="K57" s="2"/>
      <c r="L57" s="2"/>
      <c r="M57" s="2"/>
      <c r="N57" s="2"/>
      <c r="O57" s="7"/>
      <c r="P57" s="2"/>
      <c r="Q57" s="2"/>
      <c r="R57" s="2"/>
      <c r="S57" s="2"/>
    </row>
    <row r="58" spans="3:19">
      <c r="C58" s="1"/>
      <c r="D58" s="5"/>
      <c r="E58" s="1"/>
      <c r="F58" s="1"/>
      <c r="H58" s="7" t="str">
        <f t="shared" si="3"/>
        <v/>
      </c>
      <c r="I58" s="2"/>
      <c r="J58" s="2"/>
      <c r="K58" s="2"/>
      <c r="L58" s="2"/>
      <c r="M58" s="2"/>
      <c r="N58" s="2"/>
      <c r="O58" s="7"/>
      <c r="P58" s="2"/>
      <c r="Q58" s="2"/>
      <c r="R58" s="2"/>
      <c r="S58" s="2"/>
    </row>
    <row r="59" spans="3:19">
      <c r="C59" s="1" t="s">
        <v>24</v>
      </c>
      <c r="D59" s="5" t="s">
        <v>285</v>
      </c>
      <c r="E59" s="1" t="s">
        <v>25</v>
      </c>
      <c r="F59" s="1"/>
      <c r="H59" s="7" t="str">
        <f t="shared" si="3"/>
        <v>"Indicator_Distribution_SysH",</v>
      </c>
      <c r="I59" s="2"/>
      <c r="J59" s="2"/>
      <c r="K59" s="2"/>
      <c r="L59" s="2"/>
      <c r="M59" s="2"/>
      <c r="N59" s="2"/>
      <c r="O59" s="7"/>
      <c r="P59" s="2"/>
      <c r="Q59" s="2"/>
      <c r="R59" s="2"/>
      <c r="S59" s="2"/>
    </row>
    <row r="60" spans="3:19">
      <c r="C60" s="1" t="s">
        <v>24</v>
      </c>
      <c r="D60" s="5" t="s">
        <v>286</v>
      </c>
      <c r="E60" s="1" t="s">
        <v>25</v>
      </c>
      <c r="F60" s="1"/>
      <c r="H60" s="7" t="str">
        <f t="shared" si="3"/>
        <v>"Indicator_Distribution_SysH_OutsideEnvelope",</v>
      </c>
      <c r="I60" s="2"/>
      <c r="J60" s="2"/>
      <c r="K60" s="2"/>
      <c r="L60" s="2"/>
      <c r="M60" s="2"/>
      <c r="N60" s="2"/>
      <c r="O60" s="7"/>
      <c r="P60" s="2"/>
      <c r="Q60" s="2"/>
      <c r="R60" s="2"/>
      <c r="S60" s="2"/>
    </row>
    <row r="61" spans="3:19">
      <c r="C61" s="1" t="s">
        <v>24</v>
      </c>
      <c r="D61" s="5" t="s">
        <v>287</v>
      </c>
      <c r="E61" s="1" t="s">
        <v>25</v>
      </c>
      <c r="F61" s="1"/>
      <c r="H61" s="7" t="str">
        <f t="shared" si="3"/>
        <v>"Indicator_Distribution_SysH_PoorlyInsulated",</v>
      </c>
      <c r="I61" s="2"/>
      <c r="J61" s="2"/>
      <c r="K61" s="2"/>
      <c r="L61" s="2"/>
      <c r="M61" s="2"/>
      <c r="N61" s="2"/>
      <c r="O61" s="7"/>
      <c r="P61" s="2"/>
      <c r="Q61" s="2"/>
      <c r="R61" s="2"/>
      <c r="S61" s="2"/>
    </row>
    <row r="62" spans="3:19">
      <c r="C62" s="1" t="s">
        <v>24</v>
      </c>
      <c r="D62" s="5" t="s">
        <v>288</v>
      </c>
      <c r="E62" s="1" t="s">
        <v>25</v>
      </c>
      <c r="F62" s="1"/>
      <c r="H62" s="7" t="str">
        <f t="shared" si="3"/>
        <v>"Indicator_Distribution_SysH_LowTemperature",</v>
      </c>
      <c r="I62" s="2"/>
      <c r="J62" s="2"/>
      <c r="K62" s="2"/>
      <c r="L62" s="2"/>
      <c r="M62" s="2"/>
      <c r="N62" s="2"/>
      <c r="O62" s="7"/>
      <c r="P62" s="2"/>
      <c r="Q62" s="2"/>
      <c r="R62" s="2"/>
      <c r="S62" s="2"/>
    </row>
    <row r="63" spans="3:19">
      <c r="C63" s="1"/>
      <c r="D63" s="5"/>
      <c r="E63" s="1"/>
      <c r="F63" s="1"/>
      <c r="H63" s="7" t="str">
        <f t="shared" si="3"/>
        <v/>
      </c>
      <c r="I63" s="2"/>
      <c r="J63" s="2"/>
      <c r="K63" s="2"/>
      <c r="L63" s="2"/>
      <c r="M63" s="2"/>
      <c r="N63" s="2"/>
      <c r="O63" s="7"/>
      <c r="P63" s="2"/>
      <c r="Q63" s="2"/>
      <c r="R63" s="2"/>
      <c r="S63" s="2"/>
    </row>
    <row r="64" spans="3:19">
      <c r="C64" s="1" t="s">
        <v>24</v>
      </c>
      <c r="D64" s="5" t="s">
        <v>289</v>
      </c>
      <c r="E64" s="1" t="s">
        <v>25</v>
      </c>
      <c r="F64" s="1"/>
      <c r="H64" s="7" t="str">
        <f t="shared" si="3"/>
        <v>"Indicator_Storage_SysW",</v>
      </c>
      <c r="I64" s="2"/>
      <c r="J64" s="2"/>
      <c r="K64" s="2"/>
      <c r="L64" s="2"/>
      <c r="M64" s="2"/>
      <c r="N64" s="2"/>
      <c r="O64" s="7"/>
      <c r="P64" s="2"/>
      <c r="Q64" s="2"/>
      <c r="R64" s="2"/>
      <c r="S64" s="2"/>
    </row>
    <row r="65" spans="3:19">
      <c r="C65" s="1" t="s">
        <v>24</v>
      </c>
      <c r="D65" s="5" t="s">
        <v>290</v>
      </c>
      <c r="E65" s="1" t="s">
        <v>25</v>
      </c>
      <c r="F65" s="1"/>
      <c r="H65" s="7" t="str">
        <f t="shared" si="3"/>
        <v>"Indicator_Storage_SysW_Immersion",</v>
      </c>
      <c r="I65" s="2"/>
      <c r="J65" s="2"/>
      <c r="K65" s="2"/>
      <c r="L65" s="2"/>
      <c r="M65" s="2"/>
      <c r="N65" s="2"/>
      <c r="O65" s="7"/>
      <c r="P65" s="2"/>
      <c r="Q65" s="2"/>
      <c r="R65" s="2"/>
      <c r="S65" s="2"/>
    </row>
    <row r="66" spans="3:19">
      <c r="C66" s="1" t="s">
        <v>24</v>
      </c>
      <c r="D66" s="5" t="s">
        <v>291</v>
      </c>
      <c r="E66" s="1" t="s">
        <v>25</v>
      </c>
      <c r="F66" s="1"/>
      <c r="H66" s="7" t="str">
        <f t="shared" si="3"/>
        <v>"Indicator_Storage_SysW_InsideEnvelope",</v>
      </c>
      <c r="I66" s="2"/>
      <c r="J66" s="2"/>
      <c r="K66" s="2"/>
      <c r="L66" s="2"/>
      <c r="M66" s="2"/>
      <c r="N66" s="2"/>
      <c r="O66" s="7"/>
      <c r="P66" s="2"/>
      <c r="Q66" s="2"/>
      <c r="R66" s="2"/>
      <c r="S66" s="2"/>
    </row>
    <row r="67" spans="3:19">
      <c r="C67" s="1"/>
      <c r="D67" s="5"/>
      <c r="E67" s="1"/>
      <c r="F67" s="1"/>
      <c r="H67" s="7" t="str">
        <f t="shared" si="3"/>
        <v/>
      </c>
      <c r="I67" s="2"/>
      <c r="J67" s="2"/>
      <c r="K67" s="2"/>
      <c r="L67" s="2"/>
      <c r="M67" s="2"/>
      <c r="N67" s="2"/>
      <c r="O67" s="7"/>
      <c r="P67" s="2"/>
      <c r="Q67" s="2"/>
      <c r="R67" s="2"/>
      <c r="S67" s="2"/>
    </row>
    <row r="68" spans="3:19">
      <c r="C68" s="1" t="s">
        <v>24</v>
      </c>
      <c r="D68" s="5" t="s">
        <v>292</v>
      </c>
      <c r="E68" s="1" t="s">
        <v>25</v>
      </c>
      <c r="F68" s="1"/>
      <c r="H68" s="7" t="str">
        <f t="shared" si="3"/>
        <v>"Indicator_Distribution_SysW",</v>
      </c>
      <c r="I68" s="2"/>
      <c r="J68" s="2"/>
      <c r="K68" s="2"/>
      <c r="L68" s="2"/>
      <c r="M68" s="2"/>
      <c r="N68" s="2"/>
      <c r="O68" s="7"/>
      <c r="P68" s="2"/>
      <c r="Q68" s="2"/>
      <c r="R68" s="2"/>
      <c r="S68" s="2"/>
    </row>
    <row r="69" spans="3:19">
      <c r="C69" s="1" t="s">
        <v>24</v>
      </c>
      <c r="D69" s="5" t="s">
        <v>293</v>
      </c>
      <c r="E69" s="1" t="s">
        <v>25</v>
      </c>
      <c r="F69" s="1"/>
      <c r="H69" s="7" t="str">
        <f t="shared" si="3"/>
        <v>"Indicator_Distribution_SysW_CirculationLoop",</v>
      </c>
      <c r="I69" s="2"/>
      <c r="J69" s="2"/>
      <c r="K69" s="2"/>
      <c r="L69" s="2"/>
      <c r="M69" s="2"/>
      <c r="N69" s="2"/>
      <c r="O69" s="7"/>
      <c r="P69" s="2"/>
      <c r="Q69" s="2"/>
      <c r="R69" s="2"/>
      <c r="S69" s="2"/>
    </row>
    <row r="70" spans="3:19">
      <c r="C70" s="1" t="s">
        <v>24</v>
      </c>
      <c r="D70" s="5" t="s">
        <v>294</v>
      </c>
      <c r="E70" s="1" t="s">
        <v>25</v>
      </c>
      <c r="F70" s="1"/>
      <c r="H70" s="7" t="str">
        <f t="shared" si="3"/>
        <v>"Indicator_Distribution_SysW_OutsideEnvelope",</v>
      </c>
      <c r="I70" s="2"/>
      <c r="J70" s="2"/>
      <c r="K70" s="2"/>
      <c r="L70" s="2"/>
      <c r="M70" s="2"/>
      <c r="N70" s="2"/>
      <c r="O70" s="7"/>
      <c r="P70" s="2"/>
      <c r="Q70" s="2"/>
      <c r="R70" s="2"/>
      <c r="S70" s="2"/>
    </row>
    <row r="71" spans="3:19">
      <c r="C71" s="1" t="s">
        <v>24</v>
      </c>
      <c r="D71" s="5" t="s">
        <v>295</v>
      </c>
      <c r="E71" s="1" t="s">
        <v>25</v>
      </c>
      <c r="F71" s="1"/>
      <c r="H71" s="7" t="str">
        <f t="shared" si="3"/>
        <v>"Indicator_Distribution_SysW_PoorlyInsulated",</v>
      </c>
      <c r="I71" s="2"/>
      <c r="J71" s="2"/>
      <c r="K71" s="2"/>
      <c r="L71" s="2"/>
      <c r="M71" s="2"/>
      <c r="N71" s="2"/>
      <c r="O71" s="7"/>
      <c r="P71" s="2"/>
      <c r="Q71" s="2"/>
      <c r="R71" s="2"/>
      <c r="S71" s="2"/>
    </row>
    <row r="72" spans="3:19">
      <c r="C72" s="1" t="s">
        <v>24</v>
      </c>
      <c r="D72" s="5"/>
      <c r="E72" s="1" t="s">
        <v>25</v>
      </c>
      <c r="F72" s="1"/>
      <c r="H72" s="7" t="str">
        <f t="shared" si="3"/>
        <v>"",</v>
      </c>
      <c r="I72" s="2"/>
      <c r="J72" s="2"/>
      <c r="K72" s="2"/>
      <c r="L72" s="2"/>
      <c r="M72" s="2"/>
      <c r="N72" s="2"/>
      <c r="O72" s="7"/>
      <c r="P72" s="2"/>
      <c r="Q72" s="2"/>
      <c r="R72" s="2"/>
      <c r="S72" s="2"/>
    </row>
    <row r="73" spans="3:19">
      <c r="C73" s="1" t="s">
        <v>24</v>
      </c>
      <c r="D73" s="5"/>
      <c r="E73" s="1" t="s">
        <v>25</v>
      </c>
      <c r="F73" s="1"/>
      <c r="H73" s="7" t="str">
        <f t="shared" si="3"/>
        <v>"",</v>
      </c>
      <c r="I73" s="2"/>
      <c r="J73" s="2"/>
      <c r="K73" s="2"/>
      <c r="L73" s="2"/>
      <c r="M73" s="2"/>
      <c r="N73" s="2"/>
      <c r="O73" s="7"/>
      <c r="P73" s="2"/>
      <c r="Q73" s="2"/>
      <c r="R73" s="2"/>
      <c r="S73" s="2"/>
    </row>
    <row r="74" spans="3:19">
      <c r="C74" s="1" t="s">
        <v>24</v>
      </c>
      <c r="D74" s="5"/>
      <c r="E74" s="1" t="s">
        <v>25</v>
      </c>
      <c r="F74" s="1"/>
      <c r="H74" s="7" t="str">
        <f t="shared" si="3"/>
        <v>"",</v>
      </c>
      <c r="I74" s="2"/>
      <c r="J74" s="2"/>
      <c r="K74" s="2"/>
      <c r="L74" s="2"/>
      <c r="M74" s="2"/>
      <c r="N74" s="2"/>
      <c r="O74" s="7"/>
      <c r="P74" s="2"/>
      <c r="Q74" s="2"/>
      <c r="R74" s="2"/>
      <c r="S74" s="2"/>
    </row>
    <row r="75" spans="3:19">
      <c r="C75" s="1" t="s">
        <v>24</v>
      </c>
      <c r="D75" s="5"/>
      <c r="E75" s="1" t="s">
        <v>25</v>
      </c>
      <c r="F75" s="1"/>
      <c r="H75" s="7" t="str">
        <f t="shared" si="3"/>
        <v>"",</v>
      </c>
      <c r="I75" s="2"/>
      <c r="J75" s="2"/>
      <c r="K75" s="2"/>
      <c r="L75" s="2"/>
      <c r="M75" s="2"/>
      <c r="N75" s="2"/>
      <c r="O75" s="7"/>
      <c r="P75" s="2"/>
      <c r="Q75" s="2"/>
      <c r="R75" s="2"/>
      <c r="S75" s="2"/>
    </row>
    <row r="76" spans="3:19">
      <c r="C76" s="1" t="s">
        <v>24</v>
      </c>
      <c r="D76" s="5"/>
      <c r="E76" s="1" t="s">
        <v>25</v>
      </c>
      <c r="F76" s="1"/>
      <c r="H76" s="7" t="str">
        <f t="shared" si="3"/>
        <v>"",</v>
      </c>
      <c r="I76" s="2"/>
      <c r="J76" s="2"/>
      <c r="K76" s="2"/>
      <c r="L76" s="2"/>
      <c r="M76" s="2"/>
      <c r="N76" s="2"/>
      <c r="O76" s="7"/>
      <c r="P76" s="2"/>
      <c r="Q76" s="2"/>
      <c r="R76" s="2"/>
      <c r="S76" s="2"/>
    </row>
    <row r="77" spans="3:19">
      <c r="C77" s="1" t="s">
        <v>24</v>
      </c>
      <c r="D77" s="5"/>
      <c r="E77" s="1" t="s">
        <v>25</v>
      </c>
      <c r="F77" s="1"/>
      <c r="H77" s="7" t="str">
        <f t="shared" si="3"/>
        <v>"",</v>
      </c>
      <c r="I77" s="2"/>
      <c r="J77" s="2"/>
      <c r="K77" s="2"/>
      <c r="L77" s="2"/>
      <c r="M77" s="2"/>
      <c r="N77" s="2"/>
      <c r="O77" s="7"/>
      <c r="P77" s="2"/>
      <c r="Q77" s="2"/>
      <c r="R77" s="2"/>
      <c r="S77" s="2"/>
    </row>
    <row r="78" spans="3:19">
      <c r="C78" s="1" t="s">
        <v>24</v>
      </c>
      <c r="D78" s="5"/>
      <c r="E78" s="1" t="s">
        <v>25</v>
      </c>
      <c r="F78" s="1"/>
      <c r="H78" s="7" t="str">
        <f t="shared" si="3"/>
        <v>"",</v>
      </c>
      <c r="I78" s="2"/>
      <c r="J78" s="2"/>
      <c r="K78" s="2"/>
      <c r="L78" s="2"/>
      <c r="M78" s="2"/>
      <c r="N78" s="2"/>
      <c r="O78" s="7"/>
      <c r="P78" s="2"/>
      <c r="Q78" s="2"/>
      <c r="R78" s="2"/>
      <c r="S78" s="2"/>
    </row>
    <row r="79" spans="3:19">
      <c r="C79" s="1" t="s">
        <v>24</v>
      </c>
      <c r="D79" s="5"/>
      <c r="E79" s="1" t="s">
        <v>25</v>
      </c>
      <c r="F79" s="1"/>
      <c r="H79" s="7" t="str">
        <f t="shared" si="3"/>
        <v>"",</v>
      </c>
      <c r="I79" s="2"/>
      <c r="J79" s="2"/>
      <c r="K79" s="2"/>
      <c r="L79" s="2"/>
      <c r="M79" s="2"/>
      <c r="N79" s="2"/>
      <c r="O79" s="7"/>
      <c r="P79" s="2"/>
      <c r="Q79" s="2"/>
      <c r="R79" s="2"/>
      <c r="S79" s="2"/>
    </row>
    <row r="80" spans="3:19">
      <c r="C80" s="1" t="s">
        <v>24</v>
      </c>
      <c r="D80" s="5"/>
      <c r="E80" s="1" t="s">
        <v>25</v>
      </c>
      <c r="F80" s="1"/>
      <c r="H80" s="7" t="str">
        <f t="shared" si="3"/>
        <v>"",</v>
      </c>
      <c r="I80" s="2"/>
      <c r="J80" s="2"/>
      <c r="K80" s="2"/>
      <c r="L80" s="2"/>
      <c r="M80" s="2"/>
      <c r="N80" s="2"/>
      <c r="O80" s="7"/>
      <c r="P80" s="2"/>
      <c r="Q80" s="2"/>
      <c r="R80" s="2"/>
      <c r="S80" s="2"/>
    </row>
    <row r="81" spans="3:19">
      <c r="C81" s="1" t="s">
        <v>24</v>
      </c>
      <c r="D81" s="5"/>
      <c r="E81" s="1" t="s">
        <v>25</v>
      </c>
      <c r="F81" s="1"/>
      <c r="H81" s="7" t="str">
        <f t="shared" si="3"/>
        <v>"",</v>
      </c>
      <c r="I81" s="2"/>
      <c r="J81" s="2"/>
      <c r="K81" s="2"/>
      <c r="L81" s="2"/>
      <c r="M81" s="2"/>
      <c r="N81" s="2"/>
      <c r="O81" s="7"/>
      <c r="P81" s="2"/>
      <c r="Q81" s="2"/>
      <c r="R81" s="2"/>
      <c r="S81" s="2"/>
    </row>
    <row r="82" spans="3:19">
      <c r="C82" s="1" t="s">
        <v>24</v>
      </c>
      <c r="D82" s="5"/>
      <c r="E82" s="1" t="s">
        <v>25</v>
      </c>
      <c r="F82" s="1"/>
      <c r="H82" s="7" t="str">
        <f t="shared" si="3"/>
        <v>"",</v>
      </c>
      <c r="I82" s="2"/>
      <c r="J82" s="2"/>
      <c r="K82" s="2"/>
      <c r="L82" s="2"/>
      <c r="M82" s="2"/>
      <c r="N82" s="2"/>
      <c r="O82" s="7"/>
      <c r="P82" s="2"/>
      <c r="Q82" s="2"/>
      <c r="R82" s="2"/>
      <c r="S82" s="2"/>
    </row>
    <row r="83" spans="3:19">
      <c r="C83" s="1" t="s">
        <v>24</v>
      </c>
      <c r="D83" s="5"/>
      <c r="E83" s="1" t="s">
        <v>25</v>
      </c>
      <c r="F83" s="1"/>
      <c r="H83" s="7" t="str">
        <f t="shared" si="3"/>
        <v>"",</v>
      </c>
      <c r="I83" s="2"/>
      <c r="J83" s="2"/>
      <c r="K83" s="2"/>
      <c r="L83" s="2"/>
      <c r="M83" s="2"/>
      <c r="N83" s="2"/>
      <c r="O83" s="7"/>
      <c r="P83" s="2"/>
      <c r="Q83" s="2"/>
      <c r="R83" s="2"/>
      <c r="S83" s="2"/>
    </row>
    <row r="84" spans="3:19">
      <c r="C84" s="1" t="s">
        <v>24</v>
      </c>
      <c r="D84" s="5"/>
      <c r="E84" s="1" t="s">
        <v>25</v>
      </c>
      <c r="F84" s="1"/>
      <c r="H84" s="7" t="str">
        <f t="shared" si="3"/>
        <v>"",</v>
      </c>
      <c r="I84" s="2"/>
      <c r="J84" s="2"/>
      <c r="K84" s="2"/>
      <c r="L84" s="2"/>
      <c r="M84" s="2"/>
      <c r="N84" s="2"/>
      <c r="O84" s="7"/>
      <c r="P84" s="2"/>
      <c r="Q84" s="2"/>
      <c r="R84" s="2"/>
      <c r="S84" s="2"/>
    </row>
    <row r="85" spans="3:19">
      <c r="C85" s="1" t="s">
        <v>24</v>
      </c>
      <c r="D85" s="5"/>
      <c r="E85" s="1" t="s">
        <v>25</v>
      </c>
      <c r="F85" s="1"/>
      <c r="H85" s="7" t="str">
        <f t="shared" si="3"/>
        <v>"",</v>
      </c>
      <c r="I85" s="2"/>
      <c r="J85" s="2"/>
      <c r="K85" s="2"/>
      <c r="L85" s="2"/>
      <c r="M85" s="2"/>
      <c r="N85" s="2"/>
      <c r="O85" s="7"/>
      <c r="P85" s="2"/>
      <c r="Q85" s="2"/>
      <c r="R85" s="2"/>
      <c r="S85" s="2"/>
    </row>
    <row r="86" spans="3:19">
      <c r="C86" s="1" t="s">
        <v>24</v>
      </c>
      <c r="D86" s="5"/>
      <c r="E86" s="1" t="s">
        <v>25</v>
      </c>
      <c r="F86" s="1"/>
      <c r="H86" s="7" t="str">
        <f t="shared" si="3"/>
        <v>"",</v>
      </c>
      <c r="I86" s="2"/>
      <c r="J86" s="2"/>
      <c r="K86" s="2"/>
      <c r="L86" s="2"/>
      <c r="M86" s="2"/>
      <c r="N86" s="2"/>
      <c r="O86" s="7"/>
      <c r="P86" s="2"/>
      <c r="Q86" s="2"/>
      <c r="R86" s="2"/>
      <c r="S86" s="2"/>
    </row>
    <row r="87" spans="3:19">
      <c r="C87" s="1" t="s">
        <v>24</v>
      </c>
      <c r="D87" s="5"/>
      <c r="E87" s="1" t="s">
        <v>25</v>
      </c>
      <c r="F87" s="1"/>
      <c r="H87" s="7" t="str">
        <f t="shared" si="3"/>
        <v>"",</v>
      </c>
      <c r="I87" s="2"/>
      <c r="J87" s="2"/>
      <c r="K87" s="2"/>
      <c r="L87" s="2"/>
      <c r="M87" s="2"/>
      <c r="N87" s="2"/>
      <c r="O87" s="7"/>
      <c r="P87" s="2"/>
      <c r="Q87" s="2"/>
      <c r="R87" s="2"/>
      <c r="S87" s="2"/>
    </row>
    <row r="88" spans="3:19">
      <c r="C88" s="1" t="s">
        <v>24</v>
      </c>
      <c r="D88" s="5"/>
      <c r="E88" s="1" t="s">
        <v>25</v>
      </c>
      <c r="F88" s="1"/>
      <c r="H88" s="7" t="str">
        <f t="shared" si="3"/>
        <v>"",</v>
      </c>
      <c r="I88" s="2"/>
      <c r="J88" s="2"/>
      <c r="K88" s="2"/>
      <c r="L88" s="2"/>
      <c r="M88" s="2"/>
      <c r="N88" s="2"/>
      <c r="O88" s="7"/>
      <c r="P88" s="2"/>
      <c r="Q88" s="2"/>
      <c r="R88" s="2"/>
      <c r="S88" s="2"/>
    </row>
    <row r="89" spans="3:19">
      <c r="C89" s="1" t="s">
        <v>24</v>
      </c>
      <c r="D89" s="5"/>
      <c r="E89" s="1" t="s">
        <v>25</v>
      </c>
      <c r="F89" s="1"/>
      <c r="H89" s="7" t="str">
        <f t="shared" si="3"/>
        <v>"",</v>
      </c>
      <c r="I89" s="2"/>
      <c r="J89" s="2"/>
      <c r="K89" s="2"/>
      <c r="L89" s="2"/>
      <c r="M89" s="2"/>
      <c r="N89" s="2"/>
      <c r="O89" s="7"/>
      <c r="P89" s="2"/>
      <c r="Q89" s="2"/>
      <c r="R89" s="2"/>
      <c r="S89" s="2"/>
    </row>
    <row r="90" spans="3:19">
      <c r="C90" s="1" t="s">
        <v>24</v>
      </c>
      <c r="D90" s="5"/>
      <c r="E90" s="1" t="s">
        <v>25</v>
      </c>
      <c r="F90" s="1"/>
      <c r="H90" s="7" t="str">
        <f t="shared" si="3"/>
        <v>"",</v>
      </c>
      <c r="I90" s="2"/>
      <c r="J90" s="2"/>
      <c r="K90" s="2"/>
      <c r="L90" s="2"/>
      <c r="M90" s="2"/>
      <c r="N90" s="2"/>
      <c r="O90" s="7"/>
      <c r="P90" s="2"/>
      <c r="Q90" s="2"/>
      <c r="R90" s="2"/>
      <c r="S90" s="2"/>
    </row>
    <row r="91" spans="3:19">
      <c r="C91" s="1" t="s">
        <v>24</v>
      </c>
      <c r="D91" s="5"/>
      <c r="E91" s="1" t="s">
        <v>25</v>
      </c>
      <c r="F91" s="1"/>
      <c r="H91" s="7" t="str">
        <f t="shared" si="3"/>
        <v>"",</v>
      </c>
      <c r="I91" s="2"/>
      <c r="J91" s="2"/>
      <c r="K91" s="2"/>
      <c r="L91" s="2"/>
      <c r="M91" s="2"/>
      <c r="N91" s="2"/>
      <c r="O91" s="7"/>
      <c r="P91" s="2"/>
      <c r="Q91" s="2"/>
      <c r="R91" s="2"/>
      <c r="S91" s="2"/>
    </row>
    <row r="92" spans="3:19">
      <c r="C92" s="1" t="s">
        <v>24</v>
      </c>
      <c r="D92" s="5"/>
      <c r="E92" s="1" t="s">
        <v>25</v>
      </c>
      <c r="F92" s="1"/>
      <c r="H92" s="7" t="str">
        <f t="shared" si="3"/>
        <v>"",</v>
      </c>
      <c r="I92" s="2"/>
      <c r="J92" s="2"/>
      <c r="K92" s="2"/>
      <c r="L92" s="2"/>
      <c r="M92" s="2"/>
      <c r="N92" s="2"/>
      <c r="O92" s="7"/>
      <c r="P92" s="2"/>
      <c r="Q92" s="2"/>
      <c r="R92" s="2"/>
      <c r="S92" s="2"/>
    </row>
    <row r="93" spans="3:19">
      <c r="C93" s="1" t="s">
        <v>24</v>
      </c>
      <c r="D93" s="5"/>
      <c r="E93" s="1" t="s">
        <v>25</v>
      </c>
      <c r="F93" s="1"/>
      <c r="H93" s="7" t="str">
        <f t="shared" si="3"/>
        <v>"",</v>
      </c>
      <c r="I93" s="2"/>
      <c r="J93" s="2"/>
      <c r="K93" s="2"/>
      <c r="L93" s="2"/>
      <c r="M93" s="2"/>
      <c r="N93" s="2"/>
      <c r="O93" s="7"/>
      <c r="P93" s="2"/>
      <c r="Q93" s="2"/>
      <c r="R93" s="2"/>
      <c r="S93" s="2"/>
    </row>
    <row r="94" spans="3:19">
      <c r="C94" s="1" t="s">
        <v>24</v>
      </c>
      <c r="D94" s="5"/>
      <c r="E94" s="1" t="s">
        <v>25</v>
      </c>
      <c r="F94" s="1"/>
      <c r="H94" s="7" t="str">
        <f t="shared" si="3"/>
        <v>"",</v>
      </c>
      <c r="I94" s="2"/>
      <c r="J94" s="2"/>
      <c r="K94" s="2"/>
      <c r="L94" s="2"/>
      <c r="M94" s="2"/>
      <c r="N94" s="2"/>
      <c r="O94" s="7"/>
      <c r="P94" s="2"/>
      <c r="Q94" s="2"/>
      <c r="R94" s="2"/>
      <c r="S94" s="2"/>
    </row>
    <row r="95" spans="3:19">
      <c r="C95" s="1" t="s">
        <v>24</v>
      </c>
      <c r="D95" s="5"/>
      <c r="E95" s="1" t="s">
        <v>25</v>
      </c>
      <c r="F95" s="1"/>
      <c r="H95" s="7" t="str">
        <f t="shared" si="3"/>
        <v>"",</v>
      </c>
      <c r="I95" s="2"/>
      <c r="J95" s="2"/>
      <c r="K95" s="2"/>
      <c r="L95" s="2"/>
      <c r="M95" s="2"/>
      <c r="N95" s="2"/>
      <c r="O95" s="7"/>
      <c r="P95" s="2"/>
      <c r="Q95" s="2"/>
      <c r="R95" s="2"/>
      <c r="S95" s="2"/>
    </row>
    <row r="96" spans="3:19">
      <c r="C96" s="1" t="s">
        <v>24</v>
      </c>
      <c r="D96" s="5"/>
      <c r="E96" s="1" t="s">
        <v>25</v>
      </c>
      <c r="F96" s="1"/>
      <c r="H96" s="7" t="str">
        <f t="shared" si="3"/>
        <v>"",</v>
      </c>
      <c r="I96" s="2"/>
      <c r="J96" s="2"/>
      <c r="K96" s="2"/>
      <c r="L96" s="2"/>
      <c r="M96" s="2"/>
      <c r="N96" s="2"/>
      <c r="O96" s="7"/>
      <c r="P96" s="2"/>
      <c r="Q96" s="2"/>
      <c r="R96" s="2"/>
      <c r="S96" s="2"/>
    </row>
    <row r="100" spans="2:19">
      <c r="B100" s="3" t="s">
        <v>28</v>
      </c>
    </row>
    <row r="102" spans="2:19">
      <c r="C102" s="1" t="s">
        <v>24</v>
      </c>
      <c r="D102" s="5" t="s">
        <v>12</v>
      </c>
      <c r="E102" s="1" t="s">
        <v>25</v>
      </c>
      <c r="F102" s="1"/>
      <c r="H102" s="7" t="str">
        <f t="shared" ref="H102:H113" si="4">_xlfn.CONCAT(C102:F102)</f>
        <v>"Year_Refurbishment_Roof",</v>
      </c>
      <c r="I102" s="2"/>
      <c r="J102" s="2"/>
      <c r="K102" s="2"/>
      <c r="L102" s="2"/>
      <c r="M102" s="2"/>
      <c r="N102" s="2"/>
      <c r="O102" s="7"/>
      <c r="P102" s="2"/>
      <c r="Q102" s="2"/>
      <c r="R102" s="2"/>
      <c r="S102" s="2"/>
    </row>
    <row r="103" spans="2:19">
      <c r="C103" s="1" t="s">
        <v>24</v>
      </c>
      <c r="D103" s="5" t="s">
        <v>13</v>
      </c>
      <c r="E103" s="1" t="s">
        <v>25</v>
      </c>
      <c r="F103" s="1"/>
      <c r="H103" s="7" t="str">
        <f t="shared" si="4"/>
        <v>"Year_Refurbishment_Ceiling",</v>
      </c>
      <c r="I103" s="2"/>
      <c r="J103" s="2"/>
      <c r="K103" s="2"/>
      <c r="L103" s="2"/>
      <c r="M103" s="2"/>
      <c r="N103" s="2"/>
      <c r="O103" s="7"/>
      <c r="P103" s="2"/>
      <c r="Q103" s="2"/>
      <c r="R103" s="2"/>
      <c r="S103" s="2"/>
    </row>
    <row r="104" spans="2:19">
      <c r="C104" s="1" t="s">
        <v>24</v>
      </c>
      <c r="D104" s="5" t="s">
        <v>14</v>
      </c>
      <c r="E104" s="1" t="s">
        <v>25</v>
      </c>
      <c r="F104" s="1"/>
      <c r="H104" s="7" t="str">
        <f t="shared" si="4"/>
        <v>"Year_Refurbishment_Wall",</v>
      </c>
      <c r="I104" s="2"/>
      <c r="J104" s="2"/>
      <c r="K104" s="2"/>
      <c r="L104" s="2"/>
      <c r="M104" s="2"/>
      <c r="N104" s="2"/>
      <c r="O104" s="7"/>
      <c r="P104" s="2"/>
      <c r="Q104" s="2"/>
      <c r="R104" s="2"/>
      <c r="S104" s="2"/>
    </row>
    <row r="105" spans="2:19">
      <c r="C105" s="1" t="s">
        <v>24</v>
      </c>
      <c r="D105" s="5" t="s">
        <v>15</v>
      </c>
      <c r="E105" s="1" t="s">
        <v>25</v>
      </c>
      <c r="F105" s="1"/>
      <c r="H105" s="7" t="str">
        <f t="shared" si="4"/>
        <v>"Year_Refurbishment_Floor",</v>
      </c>
      <c r="I105" s="2"/>
      <c r="J105" s="2"/>
      <c r="K105" s="2"/>
      <c r="L105" s="2"/>
      <c r="M105" s="2"/>
      <c r="N105" s="2"/>
      <c r="O105" s="7"/>
      <c r="P105" s="2"/>
      <c r="Q105" s="2"/>
      <c r="R105" s="2"/>
      <c r="S105" s="2"/>
    </row>
    <row r="106" spans="2:19">
      <c r="C106" s="1" t="s">
        <v>24</v>
      </c>
      <c r="D106" s="5" t="s">
        <v>16</v>
      </c>
      <c r="E106" s="1" t="s">
        <v>25</v>
      </c>
      <c r="F106" s="1"/>
      <c r="H106" s="7" t="str">
        <f t="shared" si="4"/>
        <v>"d_Insulation_Roof",</v>
      </c>
      <c r="I106" s="2"/>
      <c r="J106" s="2"/>
      <c r="K106" s="2"/>
      <c r="L106" s="2"/>
      <c r="M106" s="2"/>
      <c r="N106" s="2"/>
      <c r="O106" s="7"/>
      <c r="P106" s="2"/>
      <c r="Q106" s="2"/>
      <c r="R106" s="2"/>
      <c r="S106" s="2"/>
    </row>
    <row r="107" spans="2:19">
      <c r="C107" s="1" t="s">
        <v>24</v>
      </c>
      <c r="D107" s="5" t="s">
        <v>17</v>
      </c>
      <c r="E107" s="1" t="s">
        <v>25</v>
      </c>
      <c r="F107" s="1"/>
      <c r="H107" s="7" t="str">
        <f t="shared" si="4"/>
        <v>"d_Insulation_Ceiling",</v>
      </c>
      <c r="I107" s="2"/>
      <c r="J107" s="2"/>
      <c r="K107" s="2"/>
      <c r="L107" s="2"/>
      <c r="M107" s="2"/>
      <c r="N107" s="2"/>
      <c r="O107" s="7"/>
      <c r="P107" s="2"/>
      <c r="Q107" s="2"/>
      <c r="R107" s="2"/>
      <c r="S107" s="2"/>
    </row>
    <row r="108" spans="2:19">
      <c r="C108" s="1" t="s">
        <v>24</v>
      </c>
      <c r="D108" s="5" t="s">
        <v>18</v>
      </c>
      <c r="E108" s="1" t="s">
        <v>25</v>
      </c>
      <c r="F108" s="1"/>
      <c r="H108" s="7" t="str">
        <f t="shared" si="4"/>
        <v>"d_Insulation_Wall",</v>
      </c>
      <c r="I108" s="2"/>
      <c r="J108" s="2"/>
      <c r="K108" s="2"/>
      <c r="L108" s="2"/>
      <c r="M108" s="2"/>
      <c r="N108" s="2"/>
      <c r="O108" s="7"/>
      <c r="P108" s="2"/>
      <c r="Q108" s="2"/>
      <c r="R108" s="2"/>
      <c r="S108" s="2"/>
    </row>
    <row r="109" spans="2:19">
      <c r="C109" s="1" t="s">
        <v>24</v>
      </c>
      <c r="D109" s="5" t="s">
        <v>19</v>
      </c>
      <c r="E109" s="1" t="s">
        <v>25</v>
      </c>
      <c r="F109" s="1"/>
      <c r="H109" s="7" t="str">
        <f t="shared" si="4"/>
        <v>"d_Insulation_Floor",</v>
      </c>
      <c r="I109" s="2"/>
      <c r="J109" s="2"/>
      <c r="K109" s="2"/>
      <c r="L109" s="2"/>
      <c r="M109" s="2"/>
      <c r="N109" s="2"/>
      <c r="O109" s="7"/>
      <c r="P109" s="2"/>
      <c r="Q109" s="2"/>
      <c r="R109" s="2"/>
      <c r="S109" s="2"/>
    </row>
    <row r="110" spans="2:19">
      <c r="C110" s="1" t="s">
        <v>24</v>
      </c>
      <c r="D110" s="5" t="s">
        <v>20</v>
      </c>
      <c r="E110" s="1" t="s">
        <v>25</v>
      </c>
      <c r="F110" s="1"/>
      <c r="H110" s="7" t="str">
        <f t="shared" si="4"/>
        <v>"f_Insulation_Roof",</v>
      </c>
      <c r="I110" s="2"/>
      <c r="J110" s="2"/>
      <c r="K110" s="2"/>
      <c r="L110" s="2"/>
      <c r="M110" s="2"/>
      <c r="N110" s="2"/>
      <c r="O110" s="7"/>
      <c r="P110" s="2"/>
      <c r="Q110" s="2"/>
      <c r="R110" s="2"/>
      <c r="S110" s="2"/>
    </row>
    <row r="111" spans="2:19">
      <c r="C111" s="1" t="s">
        <v>24</v>
      </c>
      <c r="D111" s="5" t="s">
        <v>21</v>
      </c>
      <c r="E111" s="1" t="s">
        <v>25</v>
      </c>
      <c r="F111" s="1"/>
      <c r="H111" s="7" t="str">
        <f t="shared" si="4"/>
        <v>"f_Insulation_Ceiling",</v>
      </c>
      <c r="I111" s="2"/>
      <c r="J111" s="2"/>
      <c r="K111" s="2"/>
      <c r="L111" s="2"/>
      <c r="M111" s="2"/>
      <c r="N111" s="2"/>
      <c r="O111" s="7"/>
      <c r="P111" s="2"/>
      <c r="Q111" s="2"/>
      <c r="R111" s="2"/>
      <c r="S111" s="2"/>
    </row>
    <row r="112" spans="2:19">
      <c r="C112" s="1" t="s">
        <v>24</v>
      </c>
      <c r="D112" s="5" t="s">
        <v>22</v>
      </c>
      <c r="E112" s="1" t="s">
        <v>25</v>
      </c>
      <c r="F112" s="1"/>
      <c r="H112" s="7" t="str">
        <f t="shared" si="4"/>
        <v>"f_Insulation_Wall",</v>
      </c>
      <c r="I112" s="2"/>
      <c r="J112" s="2"/>
      <c r="K112" s="2"/>
      <c r="L112" s="2"/>
      <c r="M112" s="2"/>
      <c r="N112" s="2"/>
      <c r="O112" s="7"/>
      <c r="P112" s="2"/>
      <c r="Q112" s="2"/>
      <c r="R112" s="2"/>
      <c r="S112" s="2"/>
    </row>
    <row r="113" spans="2:19">
      <c r="C113" s="1" t="s">
        <v>24</v>
      </c>
      <c r="D113" s="5" t="s">
        <v>23</v>
      </c>
      <c r="E113" s="1" t="s">
        <v>25</v>
      </c>
      <c r="F113" s="1"/>
      <c r="H113" s="7" t="str">
        <f t="shared" si="4"/>
        <v>"f_Insulation_Floor",</v>
      </c>
      <c r="I113" s="2"/>
      <c r="J113" s="2"/>
      <c r="K113" s="2"/>
      <c r="L113" s="2"/>
      <c r="M113" s="2"/>
      <c r="N113" s="2"/>
      <c r="O113" s="7"/>
      <c r="P113" s="2"/>
      <c r="Q113" s="2"/>
      <c r="R113" s="2"/>
      <c r="S113" s="2"/>
    </row>
    <row r="117" spans="2:19">
      <c r="B117" s="3" t="s">
        <v>27</v>
      </c>
    </row>
    <row r="119" spans="2:19">
      <c r="C119" s="1" t="s">
        <v>24</v>
      </c>
      <c r="D119" s="6" t="str">
        <f>D102</f>
        <v>Year_Refurbishment_Roof</v>
      </c>
      <c r="E119" s="1" t="s">
        <v>31</v>
      </c>
      <c r="F119" s="1" t="s">
        <v>25</v>
      </c>
      <c r="H119" s="7" t="str">
        <f t="shared" ref="H119:H130" si="5">_xlfn.CONCAT(C119:F119)</f>
        <v>"Year_Refurbishment_Roof_Slider",</v>
      </c>
      <c r="I119" s="2"/>
      <c r="J119" s="2"/>
      <c r="K119" s="2"/>
      <c r="L119" s="2"/>
      <c r="M119" s="2"/>
      <c r="N119" s="2"/>
      <c r="O119" s="7"/>
      <c r="P119" s="2"/>
      <c r="Q119" s="2"/>
      <c r="R119" s="2"/>
      <c r="S119" s="2"/>
    </row>
    <row r="120" spans="2:19">
      <c r="C120" s="1" t="s">
        <v>24</v>
      </c>
      <c r="D120" s="6" t="str">
        <f t="shared" ref="D120:D130" si="6">D103</f>
        <v>Year_Refurbishment_Ceiling</v>
      </c>
      <c r="E120" s="1" t="s">
        <v>31</v>
      </c>
      <c r="F120" s="1" t="s">
        <v>25</v>
      </c>
      <c r="H120" s="7" t="str">
        <f t="shared" si="5"/>
        <v>"Year_Refurbishment_Ceiling_Slider",</v>
      </c>
      <c r="I120" s="2"/>
      <c r="J120" s="2"/>
      <c r="K120" s="2"/>
      <c r="L120" s="2"/>
      <c r="M120" s="2"/>
      <c r="N120" s="2"/>
      <c r="O120" s="7"/>
      <c r="P120" s="2"/>
      <c r="Q120" s="2"/>
      <c r="R120" s="2"/>
      <c r="S120" s="2"/>
    </row>
    <row r="121" spans="2:19">
      <c r="C121" s="1" t="s">
        <v>24</v>
      </c>
      <c r="D121" s="6" t="str">
        <f t="shared" si="6"/>
        <v>Year_Refurbishment_Wall</v>
      </c>
      <c r="E121" s="1" t="s">
        <v>31</v>
      </c>
      <c r="F121" s="1" t="s">
        <v>25</v>
      </c>
      <c r="H121" s="7" t="str">
        <f t="shared" si="5"/>
        <v>"Year_Refurbishment_Wall_Slider",</v>
      </c>
      <c r="I121" s="2"/>
      <c r="J121" s="2"/>
      <c r="K121" s="2"/>
      <c r="L121" s="2"/>
      <c r="M121" s="2"/>
      <c r="N121" s="2"/>
      <c r="O121" s="7"/>
      <c r="P121" s="2"/>
      <c r="Q121" s="2"/>
      <c r="R121" s="2"/>
      <c r="S121" s="2"/>
    </row>
    <row r="122" spans="2:19">
      <c r="C122" s="1" t="s">
        <v>24</v>
      </c>
      <c r="D122" s="6" t="str">
        <f t="shared" si="6"/>
        <v>Year_Refurbishment_Floor</v>
      </c>
      <c r="E122" s="1" t="s">
        <v>31</v>
      </c>
      <c r="F122" s="1" t="s">
        <v>25</v>
      </c>
      <c r="H122" s="7" t="str">
        <f t="shared" si="5"/>
        <v>"Year_Refurbishment_Floor_Slider",</v>
      </c>
      <c r="I122" s="2"/>
      <c r="J122" s="2"/>
      <c r="K122" s="2"/>
      <c r="L122" s="2"/>
      <c r="M122" s="2"/>
      <c r="N122" s="2"/>
      <c r="O122" s="7"/>
      <c r="P122" s="2"/>
      <c r="Q122" s="2"/>
      <c r="R122" s="2"/>
      <c r="S122" s="2"/>
    </row>
    <row r="123" spans="2:19">
      <c r="C123" s="1" t="s">
        <v>24</v>
      </c>
      <c r="D123" s="6" t="str">
        <f t="shared" si="6"/>
        <v>d_Insulation_Roof</v>
      </c>
      <c r="E123" s="1" t="s">
        <v>31</v>
      </c>
      <c r="F123" s="1" t="s">
        <v>25</v>
      </c>
      <c r="H123" s="7" t="str">
        <f t="shared" si="5"/>
        <v>"d_Insulation_Roof_Slider",</v>
      </c>
      <c r="I123" s="2"/>
      <c r="J123" s="2"/>
      <c r="K123" s="2"/>
      <c r="L123" s="2"/>
      <c r="M123" s="2"/>
      <c r="N123" s="2"/>
      <c r="O123" s="7"/>
      <c r="P123" s="2"/>
      <c r="Q123" s="2"/>
      <c r="R123" s="2"/>
      <c r="S123" s="2"/>
    </row>
    <row r="124" spans="2:19">
      <c r="C124" s="1" t="s">
        <v>24</v>
      </c>
      <c r="D124" s="6" t="str">
        <f t="shared" si="6"/>
        <v>d_Insulation_Ceiling</v>
      </c>
      <c r="E124" s="1" t="s">
        <v>31</v>
      </c>
      <c r="F124" s="1" t="s">
        <v>25</v>
      </c>
      <c r="H124" s="7" t="str">
        <f t="shared" si="5"/>
        <v>"d_Insulation_Ceiling_Slider",</v>
      </c>
      <c r="I124" s="2"/>
      <c r="J124" s="2"/>
      <c r="K124" s="2"/>
      <c r="L124" s="2"/>
      <c r="M124" s="2"/>
      <c r="N124" s="2"/>
      <c r="O124" s="7"/>
      <c r="P124" s="2"/>
      <c r="Q124" s="2"/>
      <c r="R124" s="2"/>
      <c r="S124" s="2"/>
    </row>
    <row r="125" spans="2:19">
      <c r="C125" s="1" t="s">
        <v>24</v>
      </c>
      <c r="D125" s="6" t="str">
        <f t="shared" si="6"/>
        <v>d_Insulation_Wall</v>
      </c>
      <c r="E125" s="1" t="s">
        <v>31</v>
      </c>
      <c r="F125" s="1" t="s">
        <v>25</v>
      </c>
      <c r="H125" s="7" t="str">
        <f t="shared" si="5"/>
        <v>"d_Insulation_Wall_Slider",</v>
      </c>
      <c r="I125" s="2"/>
      <c r="J125" s="2"/>
      <c r="K125" s="2"/>
      <c r="L125" s="2"/>
      <c r="M125" s="2"/>
      <c r="N125" s="2"/>
      <c r="O125" s="7"/>
      <c r="P125" s="2"/>
      <c r="Q125" s="2"/>
      <c r="R125" s="2"/>
      <c r="S125" s="2"/>
    </row>
    <row r="126" spans="2:19">
      <c r="C126" s="1" t="s">
        <v>24</v>
      </c>
      <c r="D126" s="6" t="str">
        <f t="shared" si="6"/>
        <v>d_Insulation_Floor</v>
      </c>
      <c r="E126" s="1" t="s">
        <v>31</v>
      </c>
      <c r="F126" s="1" t="s">
        <v>25</v>
      </c>
      <c r="H126" s="7" t="str">
        <f t="shared" si="5"/>
        <v>"d_Insulation_Floor_Slider",</v>
      </c>
      <c r="I126" s="2"/>
      <c r="J126" s="2"/>
      <c r="K126" s="2"/>
      <c r="L126" s="2"/>
      <c r="M126" s="2"/>
      <c r="N126" s="2"/>
      <c r="O126" s="7"/>
      <c r="P126" s="2"/>
      <c r="Q126" s="2"/>
      <c r="R126" s="2"/>
      <c r="S126" s="2"/>
    </row>
    <row r="127" spans="2:19">
      <c r="C127" s="1" t="s">
        <v>24</v>
      </c>
      <c r="D127" s="6" t="str">
        <f t="shared" si="6"/>
        <v>f_Insulation_Roof</v>
      </c>
      <c r="E127" s="1" t="s">
        <v>31</v>
      </c>
      <c r="F127" s="1" t="s">
        <v>25</v>
      </c>
      <c r="H127" s="7" t="str">
        <f t="shared" si="5"/>
        <v>"f_Insulation_Roof_Slider",</v>
      </c>
      <c r="I127" s="2"/>
      <c r="J127" s="2"/>
      <c r="K127" s="2"/>
      <c r="L127" s="2"/>
      <c r="M127" s="2"/>
      <c r="N127" s="2"/>
      <c r="O127" s="7"/>
      <c r="P127" s="2"/>
      <c r="Q127" s="2"/>
      <c r="R127" s="2"/>
      <c r="S127" s="2"/>
    </row>
    <row r="128" spans="2:19">
      <c r="C128" s="1" t="s">
        <v>24</v>
      </c>
      <c r="D128" s="6" t="str">
        <f t="shared" si="6"/>
        <v>f_Insulation_Ceiling</v>
      </c>
      <c r="E128" s="1" t="s">
        <v>31</v>
      </c>
      <c r="F128" s="1" t="s">
        <v>25</v>
      </c>
      <c r="H128" s="7" t="str">
        <f t="shared" si="5"/>
        <v>"f_Insulation_Ceiling_Slider",</v>
      </c>
      <c r="I128" s="2"/>
      <c r="J128" s="2"/>
      <c r="K128" s="2"/>
      <c r="L128" s="2"/>
      <c r="M128" s="2"/>
      <c r="N128" s="2"/>
      <c r="O128" s="7"/>
      <c r="P128" s="2"/>
      <c r="Q128" s="2"/>
      <c r="R128" s="2"/>
      <c r="S128" s="2"/>
    </row>
    <row r="129" spans="2:19">
      <c r="C129" s="1" t="s">
        <v>24</v>
      </c>
      <c r="D129" s="6" t="str">
        <f t="shared" si="6"/>
        <v>f_Insulation_Wall</v>
      </c>
      <c r="E129" s="1" t="s">
        <v>31</v>
      </c>
      <c r="F129" s="1" t="s">
        <v>25</v>
      </c>
      <c r="H129" s="7" t="str">
        <f t="shared" si="5"/>
        <v>"f_Insulation_Wall_Slider",</v>
      </c>
      <c r="I129" s="2"/>
      <c r="J129" s="2"/>
      <c r="K129" s="2"/>
      <c r="L129" s="2"/>
      <c r="M129" s="2"/>
      <c r="N129" s="2"/>
      <c r="O129" s="7"/>
      <c r="P129" s="2"/>
      <c r="Q129" s="2"/>
      <c r="R129" s="2"/>
      <c r="S129" s="2"/>
    </row>
    <row r="130" spans="2:19">
      <c r="C130" s="1" t="s">
        <v>24</v>
      </c>
      <c r="D130" s="6" t="str">
        <f t="shared" si="6"/>
        <v>f_Insulation_Floor</v>
      </c>
      <c r="E130" s="1" t="s">
        <v>31</v>
      </c>
      <c r="F130" s="1" t="s">
        <v>25</v>
      </c>
      <c r="H130" s="7" t="str">
        <f t="shared" si="5"/>
        <v>"f_Insulation_Floor_Slider",</v>
      </c>
      <c r="I130" s="2"/>
      <c r="J130" s="2"/>
      <c r="K130" s="2"/>
      <c r="L130" s="2"/>
      <c r="M130" s="2"/>
      <c r="N130" s="2"/>
      <c r="O130" s="7"/>
      <c r="P130" s="2"/>
      <c r="Q130" s="2"/>
      <c r="R130" s="2"/>
      <c r="S130" s="2"/>
    </row>
    <row r="137" spans="2:19">
      <c r="B137" s="3" t="s">
        <v>29</v>
      </c>
    </row>
    <row r="139" spans="2:19">
      <c r="C139" s="1" t="s">
        <v>24</v>
      </c>
      <c r="D139" s="5" t="s">
        <v>0</v>
      </c>
      <c r="E139" s="1" t="s">
        <v>25</v>
      </c>
      <c r="F139" s="1"/>
      <c r="H139" s="7" t="str">
        <f>_xlfn.CONCAT(C139:F139)</f>
        <v>"Indicator_Roof_Constr_Massive",</v>
      </c>
      <c r="I139" s="2"/>
      <c r="J139" s="2"/>
      <c r="K139" s="2"/>
      <c r="L139" s="2"/>
      <c r="M139" s="2"/>
      <c r="N139" s="2"/>
      <c r="O139" s="7"/>
      <c r="P139" s="2"/>
      <c r="Q139" s="2"/>
      <c r="R139" s="2"/>
      <c r="S139" s="2"/>
    </row>
    <row r="140" spans="2:19">
      <c r="C140" s="1" t="s">
        <v>24</v>
      </c>
      <c r="D140" s="5" t="s">
        <v>1</v>
      </c>
      <c r="E140" s="1" t="s">
        <v>25</v>
      </c>
      <c r="F140" s="1"/>
      <c r="H140" s="7" t="str">
        <f t="shared" ref="H140:H146" si="7">_xlfn.CONCAT(C140:F140)</f>
        <v>"Indicator_Roof_Constr_Wood",</v>
      </c>
      <c r="I140" s="2"/>
      <c r="J140" s="2"/>
      <c r="K140" s="2"/>
      <c r="L140" s="2"/>
      <c r="M140" s="2"/>
      <c r="N140" s="2"/>
      <c r="O140" s="7"/>
      <c r="P140" s="2"/>
      <c r="Q140" s="2"/>
      <c r="R140" s="2"/>
      <c r="S140" s="2"/>
    </row>
    <row r="141" spans="2:19">
      <c r="C141" s="1" t="s">
        <v>24</v>
      </c>
      <c r="D141" s="5" t="s">
        <v>2</v>
      </c>
      <c r="E141" s="1" t="s">
        <v>25</v>
      </c>
      <c r="F141" s="1"/>
      <c r="H141" s="7" t="str">
        <f t="shared" si="7"/>
        <v>"Indicator_Ceiling_Constr_Massive",</v>
      </c>
      <c r="I141" s="2"/>
      <c r="J141" s="2"/>
      <c r="K141" s="2"/>
      <c r="L141" s="2"/>
      <c r="M141" s="2"/>
      <c r="N141" s="2"/>
      <c r="O141" s="7"/>
      <c r="P141" s="2"/>
      <c r="Q141" s="2"/>
      <c r="R141" s="2"/>
      <c r="S141" s="2"/>
    </row>
    <row r="142" spans="2:19">
      <c r="C142" s="1" t="s">
        <v>24</v>
      </c>
      <c r="D142" s="5" t="s">
        <v>3</v>
      </c>
      <c r="E142" s="1" t="s">
        <v>25</v>
      </c>
      <c r="F142" s="1"/>
      <c r="H142" s="7" t="str">
        <f t="shared" si="7"/>
        <v>"Indicator_Ceiling_Constr_Wood",</v>
      </c>
      <c r="I142" s="2"/>
      <c r="J142" s="2"/>
      <c r="K142" s="2"/>
      <c r="L142" s="2"/>
      <c r="M142" s="2"/>
      <c r="N142" s="2"/>
      <c r="O142" s="7"/>
      <c r="P142" s="2"/>
      <c r="Q142" s="2"/>
      <c r="R142" s="2"/>
      <c r="S142" s="2"/>
    </row>
    <row r="143" spans="2:19">
      <c r="C143" s="1" t="s">
        <v>24</v>
      </c>
      <c r="D143" s="5" t="s">
        <v>4</v>
      </c>
      <c r="E143" s="1" t="s">
        <v>25</v>
      </c>
      <c r="F143" s="1"/>
      <c r="H143" s="7" t="str">
        <f t="shared" si="7"/>
        <v>"Indicator_Wall_Constr_Massive",</v>
      </c>
      <c r="I143" s="2"/>
      <c r="J143" s="2"/>
      <c r="K143" s="2"/>
      <c r="L143" s="2"/>
      <c r="M143" s="2"/>
      <c r="N143" s="2"/>
      <c r="O143" s="7"/>
      <c r="P143" s="2"/>
      <c r="Q143" s="2"/>
      <c r="R143" s="2"/>
      <c r="S143" s="2"/>
    </row>
    <row r="144" spans="2:19">
      <c r="C144" s="1" t="s">
        <v>24</v>
      </c>
      <c r="D144" s="5" t="s">
        <v>5</v>
      </c>
      <c r="E144" s="1" t="s">
        <v>25</v>
      </c>
      <c r="F144" s="1"/>
      <c r="H144" s="7" t="str">
        <f t="shared" si="7"/>
        <v>"Indicator_Wall_Constr_Wood",</v>
      </c>
      <c r="I144" s="2"/>
      <c r="J144" s="2"/>
      <c r="K144" s="2"/>
      <c r="L144" s="2"/>
      <c r="M144" s="2"/>
      <c r="N144" s="2"/>
      <c r="O144" s="7"/>
      <c r="P144" s="2"/>
      <c r="Q144" s="2"/>
      <c r="R144" s="2"/>
      <c r="S144" s="2"/>
    </row>
    <row r="145" spans="2:19">
      <c r="C145" s="1" t="s">
        <v>24</v>
      </c>
      <c r="D145" s="5" t="s">
        <v>6</v>
      </c>
      <c r="E145" s="1" t="s">
        <v>25</v>
      </c>
      <c r="F145" s="1"/>
      <c r="H145" s="7" t="str">
        <f t="shared" si="7"/>
        <v>"Indicator_Floor_Constr_Massive",</v>
      </c>
      <c r="I145" s="2"/>
      <c r="J145" s="2"/>
      <c r="K145" s="2"/>
      <c r="L145" s="2"/>
      <c r="M145" s="2"/>
      <c r="N145" s="2"/>
      <c r="O145" s="7"/>
      <c r="P145" s="2"/>
      <c r="Q145" s="2"/>
      <c r="R145" s="2"/>
      <c r="S145" s="2"/>
    </row>
    <row r="146" spans="2:19">
      <c r="C146" s="1" t="s">
        <v>24</v>
      </c>
      <c r="D146" s="5" t="s">
        <v>7</v>
      </c>
      <c r="E146" s="1" t="s">
        <v>25</v>
      </c>
      <c r="F146" s="1"/>
      <c r="H146" s="7" t="str">
        <f t="shared" si="7"/>
        <v>"Indicator_Floor_Constr_Wood",</v>
      </c>
      <c r="I146" s="2"/>
      <c r="J146" s="2"/>
      <c r="K146" s="2"/>
      <c r="L146" s="2"/>
      <c r="M146" s="2"/>
      <c r="N146" s="2"/>
      <c r="O146" s="7"/>
      <c r="P146" s="2"/>
      <c r="Q146" s="2"/>
      <c r="R146" s="2"/>
      <c r="S146" s="2"/>
    </row>
    <row r="152" spans="2:19">
      <c r="B152" s="3" t="s">
        <v>30</v>
      </c>
    </row>
    <row r="154" spans="2:19">
      <c r="C154" s="1" t="s">
        <v>24</v>
      </c>
      <c r="D154" s="5" t="s">
        <v>8</v>
      </c>
      <c r="E154" s="1" t="s">
        <v>25</v>
      </c>
      <c r="F154" s="1"/>
      <c r="H154" s="7" t="str">
        <f t="shared" ref="H154:H157" si="8">_xlfn.CONCAT(C154:F154)</f>
        <v>"Code_InsulationType_Roof",</v>
      </c>
      <c r="I154" s="2"/>
      <c r="J154" s="2"/>
      <c r="K154" s="2"/>
      <c r="L154" s="2"/>
      <c r="M154" s="2"/>
      <c r="N154" s="2"/>
      <c r="O154" s="7"/>
      <c r="P154" s="2"/>
      <c r="Q154" s="2"/>
      <c r="R154" s="2"/>
      <c r="S154" s="2"/>
    </row>
    <row r="155" spans="2:19">
      <c r="C155" s="1" t="s">
        <v>24</v>
      </c>
      <c r="D155" s="5" t="s">
        <v>9</v>
      </c>
      <c r="E155" s="1" t="s">
        <v>25</v>
      </c>
      <c r="F155" s="1"/>
      <c r="H155" s="7" t="str">
        <f t="shared" si="8"/>
        <v>"Code_InsulationType_Ceiling",</v>
      </c>
      <c r="I155" s="2"/>
      <c r="J155" s="2"/>
      <c r="K155" s="2"/>
      <c r="L155" s="2"/>
      <c r="M155" s="2"/>
      <c r="N155" s="2"/>
      <c r="O155" s="7"/>
      <c r="P155" s="2"/>
      <c r="Q155" s="2"/>
      <c r="R155" s="2"/>
      <c r="S155" s="2"/>
    </row>
    <row r="156" spans="2:19">
      <c r="C156" s="1" t="s">
        <v>24</v>
      </c>
      <c r="D156" s="5" t="s">
        <v>10</v>
      </c>
      <c r="E156" s="1" t="s">
        <v>25</v>
      </c>
      <c r="F156" s="1"/>
      <c r="H156" s="7" t="str">
        <f t="shared" si="8"/>
        <v>"Code_InsulationType_Wall",</v>
      </c>
      <c r="I156" s="2"/>
      <c r="J156" s="2"/>
      <c r="K156" s="2"/>
      <c r="L156" s="2"/>
      <c r="M156" s="2"/>
      <c r="N156" s="2"/>
      <c r="O156" s="7"/>
      <c r="P156" s="2"/>
      <c r="Q156" s="2"/>
      <c r="R156" s="2"/>
      <c r="S156" s="2"/>
    </row>
    <row r="157" spans="2:19">
      <c r="C157" s="1" t="s">
        <v>24</v>
      </c>
      <c r="D157" s="5" t="s">
        <v>11</v>
      </c>
      <c r="E157" s="1" t="s">
        <v>25</v>
      </c>
      <c r="F157" s="1"/>
      <c r="H157" s="7" t="str">
        <f t="shared" si="8"/>
        <v>"Code_InsulationType_Floor",</v>
      </c>
      <c r="I157" s="2"/>
      <c r="J157" s="2"/>
      <c r="K157" s="2"/>
      <c r="L157" s="2"/>
      <c r="M157" s="2"/>
      <c r="N157" s="2"/>
      <c r="O157" s="7"/>
      <c r="P157" s="2"/>
      <c r="Q157" s="2"/>
      <c r="R157" s="2"/>
      <c r="S157" s="2"/>
    </row>
    <row r="162" spans="3:19">
      <c r="K162" s="4" t="s">
        <v>64</v>
      </c>
    </row>
    <row r="163" spans="3:19">
      <c r="C163" s="1" t="s">
        <v>24</v>
      </c>
      <c r="D163" s="5" t="s">
        <v>53</v>
      </c>
      <c r="E163" s="1" t="s">
        <v>25</v>
      </c>
      <c r="F163" s="1"/>
      <c r="H163" s="7" t="str">
        <f t="shared" ref="H163:H309" si="9">_xlfn.CONCAT(C163:F163)</f>
        <v>"N0",</v>
      </c>
      <c r="J163" s="1" t="s">
        <v>24</v>
      </c>
      <c r="K163" s="5" t="s">
        <v>65</v>
      </c>
      <c r="L163" s="1" t="s">
        <v>25</v>
      </c>
      <c r="M163" s="1"/>
      <c r="O163" s="7" t="str">
        <f t="shared" ref="O163:O166" si="10">_xlfn.CONCAT(J163:M163)</f>
        <v>"keins (freistehend)",</v>
      </c>
      <c r="P163" s="2"/>
      <c r="Q163" s="2"/>
      <c r="R163" s="2"/>
      <c r="S163" s="2"/>
    </row>
    <row r="164" spans="3:19">
      <c r="C164" s="1" t="s">
        <v>24</v>
      </c>
      <c r="D164" s="5" t="s">
        <v>54</v>
      </c>
      <c r="E164" s="1" t="s">
        <v>25</v>
      </c>
      <c r="F164" s="1"/>
      <c r="H164" s="7" t="str">
        <f t="shared" si="9"/>
        <v>"N1",</v>
      </c>
      <c r="J164" s="1" t="s">
        <v>24</v>
      </c>
      <c r="K164" s="5" t="s">
        <v>66</v>
      </c>
      <c r="L164" s="1" t="s">
        <v>25</v>
      </c>
      <c r="M164" s="1"/>
      <c r="O164" s="7" t="str">
        <f t="shared" si="10"/>
        <v>"auf einer Seite",</v>
      </c>
      <c r="P164" s="2"/>
      <c r="Q164" s="2"/>
      <c r="R164" s="2"/>
      <c r="S164" s="2"/>
    </row>
    <row r="165" spans="3:19">
      <c r="C165" s="1" t="s">
        <v>24</v>
      </c>
      <c r="D165" s="5" t="s">
        <v>55</v>
      </c>
      <c r="E165" s="1" t="s">
        <v>25</v>
      </c>
      <c r="F165" s="1"/>
      <c r="H165" s="7" t="str">
        <f t="shared" si="9"/>
        <v>"N2",</v>
      </c>
      <c r="J165" s="1" t="s">
        <v>24</v>
      </c>
      <c r="K165" s="5" t="s">
        <v>67</v>
      </c>
      <c r="L165" s="1" t="s">
        <v>25</v>
      </c>
      <c r="M165" s="1"/>
      <c r="O165" s="7" t="str">
        <f t="shared" si="10"/>
        <v>"auf zwei Seiten",</v>
      </c>
      <c r="P165" s="2"/>
      <c r="Q165" s="2"/>
      <c r="R165" s="2"/>
      <c r="S165" s="2"/>
    </row>
    <row r="166" spans="3:19">
      <c r="C166" s="1" t="s">
        <v>24</v>
      </c>
      <c r="D166" s="5" t="s">
        <v>56</v>
      </c>
      <c r="E166" s="1" t="s">
        <v>24</v>
      </c>
      <c r="F166" s="1"/>
      <c r="H166" s="7" t="str">
        <f t="shared" si="9"/>
        <v>"_NA_"</v>
      </c>
      <c r="J166" s="1" t="s">
        <v>24</v>
      </c>
      <c r="K166" s="5" t="s">
        <v>68</v>
      </c>
      <c r="L166" s="1" t="s">
        <v>24</v>
      </c>
      <c r="M166" s="1"/>
      <c r="O166" s="7" t="str">
        <f t="shared" si="10"/>
        <v>"keine Angabe / unbekannt"</v>
      </c>
      <c r="P166" s="2"/>
      <c r="Q166" s="2"/>
      <c r="R166" s="2"/>
      <c r="S166" s="2"/>
    </row>
    <row r="167" spans="3:19">
      <c r="K167" s="4" t="s">
        <v>69</v>
      </c>
    </row>
    <row r="168" spans="3:19">
      <c r="C168" s="1" t="s">
        <v>24</v>
      </c>
      <c r="D168" s="5" t="s">
        <v>57</v>
      </c>
      <c r="E168" s="1" t="s">
        <v>25</v>
      </c>
      <c r="F168" s="1"/>
      <c r="H168" s="7" t="str">
        <f t="shared" si="9"/>
        <v>"Simple",</v>
      </c>
      <c r="J168" s="1" t="s">
        <v>24</v>
      </c>
      <c r="K168" s="5" t="s">
        <v>70</v>
      </c>
      <c r="L168" s="1" t="s">
        <v>25</v>
      </c>
      <c r="M168" s="1"/>
      <c r="O168" s="7" t="str">
        <f t="shared" ref="O168:O171" si="11">_xlfn.CONCAT(J168:M168)</f>
        <v>"kompakt",</v>
      </c>
      <c r="P168" s="2"/>
      <c r="Q168" s="2"/>
      <c r="R168" s="2"/>
      <c r="S168" s="2"/>
    </row>
    <row r="169" spans="3:19">
      <c r="C169" s="1" t="s">
        <v>24</v>
      </c>
      <c r="D169" s="5" t="s">
        <v>58</v>
      </c>
      <c r="E169" s="1" t="s">
        <v>25</v>
      </c>
      <c r="F169" s="1"/>
      <c r="H169" s="7" t="str">
        <f t="shared" si="9"/>
        <v>"Standard",</v>
      </c>
      <c r="J169" s="1" t="s">
        <v>24</v>
      </c>
      <c r="K169" s="5" t="s">
        <v>71</v>
      </c>
      <c r="L169" s="1" t="s">
        <v>25</v>
      </c>
      <c r="M169" s="1"/>
      <c r="O169" s="7" t="str">
        <f t="shared" si="11"/>
        <v>"normal",</v>
      </c>
      <c r="P169" s="2"/>
      <c r="Q169" s="2"/>
      <c r="R169" s="2"/>
      <c r="S169" s="2"/>
    </row>
    <row r="170" spans="3:19">
      <c r="C170" s="1" t="s">
        <v>24</v>
      </c>
      <c r="D170" s="5" t="s">
        <v>59</v>
      </c>
      <c r="E170" s="1" t="s">
        <v>25</v>
      </c>
      <c r="F170" s="1"/>
      <c r="H170" s="7" t="str">
        <f t="shared" si="9"/>
        <v>"Complex",</v>
      </c>
      <c r="J170" s="1" t="s">
        <v>24</v>
      </c>
      <c r="K170" s="5" t="s">
        <v>72</v>
      </c>
      <c r="L170" s="1" t="s">
        <v>25</v>
      </c>
      <c r="M170" s="1"/>
      <c r="O170" s="7" t="str">
        <f t="shared" si="11"/>
        <v>"komplex / langgestreckt",</v>
      </c>
      <c r="P170" s="2"/>
      <c r="Q170" s="2"/>
      <c r="R170" s="2"/>
      <c r="S170" s="2"/>
    </row>
    <row r="171" spans="3:19">
      <c r="C171" s="1" t="s">
        <v>24</v>
      </c>
      <c r="D171" s="5" t="s">
        <v>56</v>
      </c>
      <c r="E171" s="1" t="s">
        <v>24</v>
      </c>
      <c r="F171" s="1"/>
      <c r="H171" s="7" t="str">
        <f t="shared" si="9"/>
        <v>"_NA_"</v>
      </c>
      <c r="J171" s="1" t="s">
        <v>24</v>
      </c>
      <c r="K171" s="5" t="s">
        <v>68</v>
      </c>
      <c r="L171" s="1" t="s">
        <v>24</v>
      </c>
      <c r="M171" s="1"/>
      <c r="O171" s="7" t="str">
        <f t="shared" si="11"/>
        <v>"keine Angabe / unbekannt"</v>
      </c>
      <c r="P171" s="2"/>
      <c r="Q171" s="2"/>
      <c r="R171" s="2"/>
      <c r="S171" s="2"/>
    </row>
    <row r="172" spans="3:19">
      <c r="K172" s="4" t="s">
        <v>86</v>
      </c>
    </row>
    <row r="173" spans="3:19">
      <c r="C173" s="1" t="s">
        <v>24</v>
      </c>
      <c r="D173" s="5" t="s">
        <v>61</v>
      </c>
      <c r="E173" s="1" t="s">
        <v>25</v>
      </c>
      <c r="F173" s="1"/>
      <c r="H173" s="7" t="str">
        <f t="shared" si="9"/>
        <v>"-",</v>
      </c>
      <c r="J173" s="1" t="s">
        <v>24</v>
      </c>
      <c r="K173" s="5" t="s">
        <v>73</v>
      </c>
      <c r="L173" s="1" t="s">
        <v>25</v>
      </c>
      <c r="M173" s="1"/>
      <c r="O173" s="7" t="str">
        <f t="shared" ref="O173:O177" si="12">_xlfn.CONCAT(J173:M173)</f>
        <v>"Flachdach oder 
flach geneigtes Dach",</v>
      </c>
      <c r="P173" s="2"/>
      <c r="Q173" s="2"/>
      <c r="R173" s="2"/>
      <c r="S173" s="2"/>
    </row>
    <row r="174" spans="3:19">
      <c r="C174" s="1" t="s">
        <v>24</v>
      </c>
      <c r="D174" s="5" t="s">
        <v>60</v>
      </c>
      <c r="E174" s="1" t="s">
        <v>25</v>
      </c>
      <c r="F174" s="1"/>
      <c r="H174" s="7" t="str">
        <f t="shared" si="9"/>
        <v>"N",</v>
      </c>
      <c r="J174" s="1" t="s">
        <v>24</v>
      </c>
      <c r="K174" s="5" t="s">
        <v>74</v>
      </c>
      <c r="L174" s="1" t="s">
        <v>25</v>
      </c>
      <c r="M174" s="1"/>
      <c r="O174" s="7" t="str">
        <f t="shared" si="12"/>
        <v>"Dachgeschoss unbeheizt",</v>
      </c>
      <c r="P174" s="2"/>
      <c r="Q174" s="2"/>
      <c r="R174" s="2"/>
      <c r="S174" s="2"/>
    </row>
    <row r="175" spans="3:19">
      <c r="C175" s="1" t="s">
        <v>24</v>
      </c>
      <c r="D175" s="5" t="s">
        <v>62</v>
      </c>
      <c r="E175" s="1" t="s">
        <v>25</v>
      </c>
      <c r="F175" s="1"/>
      <c r="H175" s="7" t="str">
        <f t="shared" si="9"/>
        <v>"P",</v>
      </c>
      <c r="J175" s="1" t="s">
        <v>24</v>
      </c>
      <c r="K175" s="5" t="s">
        <v>75</v>
      </c>
      <c r="L175" s="1" t="s">
        <v>25</v>
      </c>
      <c r="M175" s="1"/>
      <c r="O175" s="7" t="str">
        <f t="shared" si="12"/>
        <v>"Dachgeschoss teilweise beheizt",</v>
      </c>
      <c r="P175" s="2"/>
      <c r="Q175" s="2"/>
      <c r="R175" s="2"/>
      <c r="S175" s="2"/>
    </row>
    <row r="176" spans="3:19">
      <c r="C176" s="1" t="s">
        <v>24</v>
      </c>
      <c r="D176" s="5" t="s">
        <v>63</v>
      </c>
      <c r="E176" s="1" t="s">
        <v>25</v>
      </c>
      <c r="F176" s="1"/>
      <c r="H176" s="7" t="str">
        <f t="shared" si="9"/>
        <v>"C",</v>
      </c>
      <c r="J176" s="1" t="s">
        <v>24</v>
      </c>
      <c r="K176" s="5" t="s">
        <v>76</v>
      </c>
      <c r="L176" s="1" t="s">
        <v>25</v>
      </c>
      <c r="M176" s="1"/>
      <c r="O176" s="7" t="str">
        <f t="shared" si="12"/>
        <v>"Dachgeschoss voll beheizt",</v>
      </c>
      <c r="P176" s="2"/>
      <c r="Q176" s="2"/>
      <c r="R176" s="2"/>
      <c r="S176" s="2"/>
    </row>
    <row r="177" spans="3:19">
      <c r="C177" s="1" t="s">
        <v>24</v>
      </c>
      <c r="D177" s="5" t="s">
        <v>56</v>
      </c>
      <c r="E177" s="1" t="s">
        <v>24</v>
      </c>
      <c r="F177" s="1"/>
      <c r="H177" s="7" t="str">
        <f t="shared" si="9"/>
        <v>"_NA_"</v>
      </c>
      <c r="J177" s="1" t="s">
        <v>24</v>
      </c>
      <c r="K177" s="5" t="s">
        <v>68</v>
      </c>
      <c r="L177" s="1" t="s">
        <v>24</v>
      </c>
      <c r="M177" s="1"/>
      <c r="O177" s="7" t="str">
        <f t="shared" si="12"/>
        <v>"keine Angabe / unbekannt"</v>
      </c>
      <c r="P177" s="2"/>
      <c r="Q177" s="2"/>
      <c r="R177" s="2"/>
      <c r="S177" s="2"/>
    </row>
    <row r="178" spans="3:19">
      <c r="K178" s="4" t="s">
        <v>77</v>
      </c>
    </row>
    <row r="179" spans="3:19">
      <c r="C179" s="1" t="s">
        <v>24</v>
      </c>
      <c r="D179" s="5" t="s">
        <v>57</v>
      </c>
      <c r="E179" s="1" t="s">
        <v>25</v>
      </c>
      <c r="F179" s="1"/>
      <c r="H179" s="7" t="str">
        <f t="shared" si="9"/>
        <v>"Simple",</v>
      </c>
      <c r="J179" s="1" t="s">
        <v>24</v>
      </c>
      <c r="K179" s="5" t="s">
        <v>78</v>
      </c>
      <c r="L179" s="1" t="s">
        <v>25</v>
      </c>
      <c r="M179" s="1"/>
      <c r="O179" s="7" t="str">
        <f>_xlfn.CONCAT(J179:M179)</f>
        <v>"einfach",</v>
      </c>
      <c r="P179" s="2"/>
      <c r="Q179" s="2"/>
      <c r="R179" s="2"/>
      <c r="S179" s="2"/>
    </row>
    <row r="180" spans="3:19">
      <c r="C180" s="1" t="s">
        <v>24</v>
      </c>
      <c r="D180" s="5" t="s">
        <v>59</v>
      </c>
      <c r="E180" s="1" t="s">
        <v>25</v>
      </c>
      <c r="F180" s="1"/>
      <c r="H180" s="7" t="str">
        <f t="shared" si="9"/>
        <v>"Complex",</v>
      </c>
      <c r="J180" s="1" t="s">
        <v>24</v>
      </c>
      <c r="K180" s="5" t="s">
        <v>79</v>
      </c>
      <c r="L180" s="1" t="s">
        <v>25</v>
      </c>
      <c r="M180" s="1"/>
      <c r="O180" s="7" t="str">
        <f>_xlfn.CONCAT(J180:M180)</f>
        <v>"Gauben / komplex",</v>
      </c>
      <c r="P180" s="2"/>
      <c r="Q180" s="2"/>
      <c r="R180" s="2"/>
      <c r="S180" s="2"/>
    </row>
    <row r="181" spans="3:19">
      <c r="C181" s="1" t="s">
        <v>24</v>
      </c>
      <c r="D181" s="5" t="s">
        <v>56</v>
      </c>
      <c r="E181" s="1" t="s">
        <v>24</v>
      </c>
      <c r="F181" s="1"/>
      <c r="H181" s="7" t="str">
        <f t="shared" si="9"/>
        <v>"_NA_"</v>
      </c>
      <c r="J181" s="1" t="s">
        <v>24</v>
      </c>
      <c r="K181" s="5" t="s">
        <v>80</v>
      </c>
      <c r="L181" s="1" t="s">
        <v>24</v>
      </c>
      <c r="M181" s="1"/>
      <c r="O181" s="7" t="str">
        <f>_xlfn.CONCAT(J181:M181)</f>
        <v>"unbekannt oder unauffällig"</v>
      </c>
      <c r="P181" s="2"/>
      <c r="Q181" s="2"/>
      <c r="R181" s="2"/>
      <c r="S181" s="2"/>
    </row>
    <row r="182" spans="3:19">
      <c r="K182" s="4" t="s">
        <v>81</v>
      </c>
    </row>
    <row r="183" spans="3:19">
      <c r="C183" s="1" t="s">
        <v>24</v>
      </c>
      <c r="D183" s="5" t="s">
        <v>61</v>
      </c>
      <c r="E183" s="1" t="s">
        <v>25</v>
      </c>
      <c r="F183" s="1"/>
      <c r="H183" s="7" t="str">
        <f t="shared" si="9"/>
        <v>"-",</v>
      </c>
      <c r="J183" s="1" t="s">
        <v>24</v>
      </c>
      <c r="K183" s="5" t="s">
        <v>82</v>
      </c>
      <c r="L183" s="1" t="s">
        <v>25</v>
      </c>
      <c r="M183" s="1"/>
      <c r="O183" s="7" t="str">
        <f>_xlfn.CONCAT(J183:M183)</f>
        <v>"nicht unterkellert",</v>
      </c>
      <c r="P183" s="2"/>
      <c r="Q183" s="2"/>
      <c r="R183" s="2"/>
      <c r="S183" s="2"/>
    </row>
    <row r="184" spans="3:19">
      <c r="C184" s="1" t="s">
        <v>24</v>
      </c>
      <c r="D184" s="5" t="s">
        <v>60</v>
      </c>
      <c r="E184" s="1" t="s">
        <v>25</v>
      </c>
      <c r="F184" s="1"/>
      <c r="H184" s="7" t="str">
        <f t="shared" si="9"/>
        <v>"N",</v>
      </c>
      <c r="J184" s="1" t="s">
        <v>24</v>
      </c>
      <c r="K184" s="5" t="s">
        <v>83</v>
      </c>
      <c r="L184" s="1" t="s">
        <v>25</v>
      </c>
      <c r="M184" s="1"/>
      <c r="O184" s="7" t="str">
        <f>_xlfn.CONCAT(J184:M184)</f>
        <v>"Kellergeschoss unbeheizt",</v>
      </c>
      <c r="P184" s="2"/>
      <c r="Q184" s="2"/>
      <c r="R184" s="2"/>
      <c r="S184" s="2"/>
    </row>
    <row r="185" spans="3:19">
      <c r="C185" s="1" t="s">
        <v>24</v>
      </c>
      <c r="D185" s="5" t="s">
        <v>62</v>
      </c>
      <c r="E185" s="1" t="s">
        <v>25</v>
      </c>
      <c r="F185" s="1"/>
      <c r="H185" s="7" t="str">
        <f t="shared" si="9"/>
        <v>"P",</v>
      </c>
      <c r="J185" s="1" t="s">
        <v>24</v>
      </c>
      <c r="K185" s="5" t="s">
        <v>84</v>
      </c>
      <c r="L185" s="1" t="s">
        <v>25</v>
      </c>
      <c r="M185" s="1"/>
      <c r="O185" s="7" t="str">
        <f>_xlfn.CONCAT(J185:M185)</f>
        <v>"Kellergeschoss teilweise beheizt",</v>
      </c>
      <c r="P185" s="2"/>
      <c r="Q185" s="2"/>
      <c r="R185" s="2"/>
      <c r="S185" s="2"/>
    </row>
    <row r="186" spans="3:19">
      <c r="C186" s="1" t="s">
        <v>24</v>
      </c>
      <c r="D186" s="5" t="s">
        <v>63</v>
      </c>
      <c r="E186" s="1" t="s">
        <v>25</v>
      </c>
      <c r="F186" s="1"/>
      <c r="H186" s="7" t="str">
        <f t="shared" si="9"/>
        <v>"C",</v>
      </c>
      <c r="J186" s="1" t="s">
        <v>24</v>
      </c>
      <c r="K186" s="5" t="s">
        <v>85</v>
      </c>
      <c r="L186" s="1" t="s">
        <v>25</v>
      </c>
      <c r="M186" s="1"/>
      <c r="O186" s="7" t="str">
        <f>_xlfn.CONCAT(J186:M186)</f>
        <v>"Kellergeschoss voll beheizt",</v>
      </c>
      <c r="P186" s="2"/>
      <c r="Q186" s="2"/>
      <c r="R186" s="2"/>
      <c r="S186" s="2"/>
    </row>
    <row r="187" spans="3:19">
      <c r="C187" s="1" t="s">
        <v>24</v>
      </c>
      <c r="D187" s="5" t="s">
        <v>56</v>
      </c>
      <c r="E187" s="1" t="s">
        <v>24</v>
      </c>
      <c r="F187" s="1"/>
      <c r="H187" s="7" t="str">
        <f t="shared" si="9"/>
        <v>"_NA_"</v>
      </c>
      <c r="J187" s="1" t="s">
        <v>24</v>
      </c>
      <c r="K187" s="5" t="s">
        <v>68</v>
      </c>
      <c r="L187" s="1" t="s">
        <v>24</v>
      </c>
      <c r="M187" s="1"/>
      <c r="O187" s="7" t="str">
        <f>_xlfn.CONCAT(J187:M187)</f>
        <v>"keine Angabe / unbekannt"</v>
      </c>
      <c r="P187" s="2"/>
      <c r="Q187" s="2"/>
      <c r="R187" s="2"/>
      <c r="S187" s="2"/>
    </row>
    <row r="190" spans="3:19">
      <c r="C190" s="1" t="s">
        <v>24</v>
      </c>
      <c r="D190" s="5" t="s">
        <v>156</v>
      </c>
      <c r="E190" s="1" t="s">
        <v>25</v>
      </c>
      <c r="F190" s="1"/>
      <c r="H190" s="7" t="str">
        <f t="shared" ref="H190:H204" si="13">_xlfn.CONCAT(C190:F190)</f>
        <v>"f_Area_WindowType2",</v>
      </c>
      <c r="I190" s="2"/>
      <c r="J190" s="2"/>
      <c r="K190" s="2"/>
      <c r="L190" s="2"/>
      <c r="M190" s="2"/>
      <c r="N190" s="2"/>
      <c r="O190" s="7"/>
      <c r="P190" s="2"/>
      <c r="Q190" s="2"/>
      <c r="R190" s="2"/>
      <c r="S190" s="2"/>
    </row>
    <row r="191" spans="3:19">
      <c r="C191" s="1" t="s">
        <v>24</v>
      </c>
      <c r="D191" s="5" t="s">
        <v>157</v>
      </c>
      <c r="E191" s="1" t="s">
        <v>25</v>
      </c>
      <c r="F191" s="1"/>
      <c r="H191" s="7" t="str">
        <f t="shared" si="13"/>
        <v>"Code_NumberPanes_WindowType1",</v>
      </c>
      <c r="I191" s="2"/>
      <c r="J191" s="2"/>
      <c r="K191" s="2"/>
      <c r="L191" s="2"/>
      <c r="M191" s="2"/>
      <c r="N191" s="2"/>
      <c r="O191" s="7"/>
      <c r="P191" s="2"/>
      <c r="Q191" s="2"/>
      <c r="R191" s="2"/>
      <c r="S191" s="2"/>
    </row>
    <row r="192" spans="3:19">
      <c r="C192" s="1" t="s">
        <v>24</v>
      </c>
      <c r="D192" s="5" t="s">
        <v>158</v>
      </c>
      <c r="E192" s="1" t="s">
        <v>25</v>
      </c>
      <c r="F192" s="1"/>
      <c r="H192" s="7" t="str">
        <f t="shared" si="13"/>
        <v>"Code_NumberPanes_WindowType2",</v>
      </c>
      <c r="I192" s="2"/>
      <c r="J192" s="2"/>
      <c r="K192" s="2"/>
      <c r="L192" s="2"/>
      <c r="M192" s="2"/>
      <c r="N192" s="2"/>
      <c r="O192" s="7"/>
      <c r="P192" s="2"/>
      <c r="Q192" s="2"/>
      <c r="R192" s="2"/>
      <c r="S192" s="2"/>
    </row>
    <row r="193" spans="3:19">
      <c r="C193" s="1" t="s">
        <v>24</v>
      </c>
      <c r="D193" s="5" t="s">
        <v>159</v>
      </c>
      <c r="E193" s="1" t="s">
        <v>25</v>
      </c>
      <c r="F193" s="1"/>
      <c r="H193" s="7" t="str">
        <f t="shared" si="13"/>
        <v>"Indicator_LowE_WindowType1",</v>
      </c>
      <c r="I193" s="2"/>
      <c r="J193" s="2"/>
      <c r="K193" s="2"/>
      <c r="L193" s="2"/>
      <c r="M193" s="2"/>
      <c r="N193" s="2"/>
      <c r="O193" s="7"/>
      <c r="P193" s="2"/>
      <c r="Q193" s="2"/>
      <c r="R193" s="2"/>
      <c r="S193" s="2"/>
    </row>
    <row r="194" spans="3:19">
      <c r="C194" s="1" t="s">
        <v>24</v>
      </c>
      <c r="D194" s="5" t="s">
        <v>160</v>
      </c>
      <c r="E194" s="1" t="s">
        <v>25</v>
      </c>
      <c r="F194" s="1"/>
      <c r="H194" s="7" t="str">
        <f t="shared" si="13"/>
        <v>"Indicator_LowE_WindowType2",</v>
      </c>
      <c r="I194" s="2"/>
      <c r="J194" s="2"/>
      <c r="K194" s="2"/>
      <c r="L194" s="2"/>
      <c r="M194" s="2"/>
      <c r="N194" s="2"/>
      <c r="O194" s="7"/>
      <c r="P194" s="2"/>
      <c r="Q194" s="2"/>
      <c r="R194" s="2"/>
      <c r="S194" s="2"/>
    </row>
    <row r="195" spans="3:19">
      <c r="C195" s="1" t="s">
        <v>24</v>
      </c>
      <c r="D195" s="5" t="s">
        <v>161</v>
      </c>
      <c r="E195" s="1" t="s">
        <v>25</v>
      </c>
      <c r="F195" s="1"/>
      <c r="H195" s="7" t="str">
        <f t="shared" si="13"/>
        <v>"Code_Frame_WindowType1",</v>
      </c>
      <c r="I195" s="2"/>
      <c r="J195" s="2"/>
      <c r="K195" s="2"/>
      <c r="L195" s="2"/>
      <c r="M195" s="2"/>
      <c r="N195" s="2"/>
      <c r="O195" s="7"/>
      <c r="P195" s="2"/>
      <c r="Q195" s="2"/>
      <c r="R195" s="2"/>
      <c r="S195" s="2"/>
    </row>
    <row r="196" spans="3:19">
      <c r="C196" s="1" t="s">
        <v>24</v>
      </c>
      <c r="D196" s="5" t="s">
        <v>162</v>
      </c>
      <c r="E196" s="1" t="s">
        <v>25</v>
      </c>
      <c r="F196" s="1"/>
      <c r="H196" s="7" t="str">
        <f t="shared" si="13"/>
        <v>"Code_Frame_WindowType2",</v>
      </c>
      <c r="I196" s="2"/>
      <c r="J196" s="2"/>
      <c r="K196" s="2"/>
      <c r="L196" s="2"/>
      <c r="M196" s="2"/>
      <c r="N196" s="2"/>
      <c r="O196" s="7"/>
      <c r="P196" s="2"/>
      <c r="Q196" s="2"/>
      <c r="R196" s="2"/>
      <c r="S196" s="2"/>
    </row>
    <row r="197" spans="3:19">
      <c r="C197" s="1" t="s">
        <v>24</v>
      </c>
      <c r="D197" s="5" t="s">
        <v>163</v>
      </c>
      <c r="E197" s="1" t="s">
        <v>25</v>
      </c>
      <c r="F197" s="1"/>
      <c r="H197" s="7" t="str">
        <f t="shared" si="13"/>
        <v>"Indicator_PassiveHouseWindow_WindowType1",</v>
      </c>
      <c r="I197" s="2"/>
      <c r="J197" s="2"/>
      <c r="K197" s="2"/>
      <c r="L197" s="2"/>
      <c r="M197" s="2"/>
      <c r="N197" s="2"/>
      <c r="O197" s="7"/>
      <c r="P197" s="2"/>
      <c r="Q197" s="2"/>
      <c r="R197" s="2"/>
      <c r="S197" s="2"/>
    </row>
    <row r="198" spans="3:19">
      <c r="C198" s="1" t="s">
        <v>24</v>
      </c>
      <c r="D198" s="5" t="s">
        <v>164</v>
      </c>
      <c r="E198" s="1" t="s">
        <v>25</v>
      </c>
      <c r="F198" s="1"/>
      <c r="H198" s="7" t="str">
        <f t="shared" si="13"/>
        <v>"Indicator_PassiveHouseWindow_WindowType2",</v>
      </c>
      <c r="I198" s="2"/>
      <c r="J198" s="2"/>
      <c r="K198" s="2"/>
      <c r="L198" s="2"/>
      <c r="M198" s="2"/>
      <c r="N198" s="2"/>
      <c r="O198" s="7"/>
      <c r="P198" s="2"/>
      <c r="Q198" s="2"/>
      <c r="R198" s="2"/>
      <c r="S198" s="2"/>
    </row>
    <row r="199" spans="3:19">
      <c r="C199" s="1" t="s">
        <v>24</v>
      </c>
      <c r="D199" s="5" t="s">
        <v>165</v>
      </c>
      <c r="E199" s="1" t="s">
        <v>25</v>
      </c>
      <c r="F199" s="1"/>
      <c r="H199" s="7" t="str">
        <f t="shared" si="13"/>
        <v>"Year_Installation_WindowType1",</v>
      </c>
      <c r="I199" s="2"/>
      <c r="J199" s="2"/>
      <c r="K199" s="2"/>
      <c r="L199" s="2"/>
      <c r="M199" s="2"/>
      <c r="N199" s="2"/>
      <c r="O199" s="7"/>
      <c r="P199" s="2"/>
      <c r="Q199" s="2"/>
      <c r="R199" s="2"/>
      <c r="S199" s="2"/>
    </row>
    <row r="200" spans="3:19">
      <c r="C200" s="1" t="s">
        <v>24</v>
      </c>
      <c r="D200" s="5" t="s">
        <v>166</v>
      </c>
      <c r="E200" s="1" t="s">
        <v>25</v>
      </c>
      <c r="F200" s="1"/>
      <c r="H200" s="7" t="str">
        <f t="shared" si="13"/>
        <v>"Year_Installation_WindowType2",</v>
      </c>
      <c r="I200" s="2"/>
      <c r="J200" s="2"/>
      <c r="K200" s="2"/>
      <c r="L200" s="2"/>
      <c r="M200" s="2"/>
      <c r="N200" s="2"/>
      <c r="O200" s="7"/>
      <c r="P200" s="2"/>
      <c r="Q200" s="2"/>
      <c r="R200" s="2"/>
      <c r="S200" s="2"/>
    </row>
    <row r="201" spans="3:19">
      <c r="C201" s="1" t="s">
        <v>24</v>
      </c>
      <c r="D201" s="5" t="s">
        <v>167</v>
      </c>
      <c r="E201" s="1" t="s">
        <v>25</v>
      </c>
      <c r="F201" s="1"/>
      <c r="H201" s="7" t="str">
        <f t="shared" si="13"/>
        <v>"Code_ThermalBridging",</v>
      </c>
      <c r="I201" s="2"/>
      <c r="J201" s="2"/>
      <c r="K201" s="2"/>
      <c r="L201" s="2"/>
      <c r="M201" s="2"/>
      <c r="N201" s="2"/>
      <c r="O201" s="7"/>
      <c r="P201" s="2"/>
      <c r="Q201" s="2"/>
      <c r="R201" s="2"/>
      <c r="S201" s="2"/>
    </row>
    <row r="202" spans="3:19">
      <c r="C202" s="1" t="s">
        <v>24</v>
      </c>
      <c r="D202" s="5" t="s">
        <v>168</v>
      </c>
      <c r="E202" s="1" t="s">
        <v>25</v>
      </c>
      <c r="F202" s="1"/>
      <c r="H202" s="7" t="str">
        <f t="shared" si="13"/>
        <v>"Code_Infiltration",</v>
      </c>
      <c r="I202" s="2"/>
      <c r="J202" s="2"/>
      <c r="K202" s="2"/>
      <c r="L202" s="2"/>
      <c r="M202" s="2"/>
      <c r="N202" s="2"/>
      <c r="O202" s="7"/>
      <c r="P202" s="2"/>
      <c r="Q202" s="2"/>
      <c r="R202" s="2"/>
      <c r="S202" s="2"/>
    </row>
    <row r="203" spans="3:19">
      <c r="C203" s="1" t="s">
        <v>24</v>
      </c>
      <c r="D203" s="5"/>
      <c r="E203" s="1" t="s">
        <v>25</v>
      </c>
      <c r="F203" s="1"/>
      <c r="H203" s="7" t="str">
        <f t="shared" si="13"/>
        <v>"",</v>
      </c>
      <c r="I203" s="2"/>
      <c r="J203" s="2"/>
      <c r="K203" s="2"/>
      <c r="L203" s="2"/>
      <c r="M203" s="2"/>
      <c r="N203" s="2"/>
      <c r="O203" s="7"/>
      <c r="P203" s="2"/>
      <c r="Q203" s="2"/>
      <c r="R203" s="2"/>
      <c r="S203" s="2"/>
    </row>
    <row r="204" spans="3:19">
      <c r="C204" s="1" t="s">
        <v>24</v>
      </c>
      <c r="D204" s="5"/>
      <c r="E204" s="1" t="s">
        <v>25</v>
      </c>
      <c r="F204" s="1"/>
      <c r="H204" s="7" t="str">
        <f t="shared" si="13"/>
        <v>"",</v>
      </c>
      <c r="I204" s="2"/>
      <c r="J204" s="2"/>
      <c r="K204" s="2"/>
      <c r="L204" s="2"/>
      <c r="M204" s="2"/>
      <c r="N204" s="2"/>
      <c r="O204" s="7"/>
      <c r="P204" s="2"/>
      <c r="Q204" s="2"/>
      <c r="R204" s="2"/>
      <c r="S204" s="2"/>
    </row>
    <row r="205" spans="3:19">
      <c r="K205" s="4"/>
    </row>
    <row r="206" spans="3:19">
      <c r="C206" s="1" t="s">
        <v>24</v>
      </c>
      <c r="D206" s="5" t="s">
        <v>87</v>
      </c>
      <c r="E206" s="1" t="s">
        <v>25</v>
      </c>
      <c r="F206" s="1"/>
      <c r="H206" s="7" t="str">
        <f t="shared" ref="H206" si="14">_xlfn.CONCAT(C206:F206)</f>
        <v>"Fenster",</v>
      </c>
      <c r="J206" s="1" t="s">
        <v>24</v>
      </c>
      <c r="K206" s="5"/>
      <c r="L206" s="1" t="s">
        <v>25</v>
      </c>
      <c r="M206" s="1"/>
      <c r="O206" s="7" t="str">
        <f t="shared" ref="O206" si="15">_xlfn.CONCAT(J206:M206)</f>
        <v>"",</v>
      </c>
      <c r="P206" s="2"/>
      <c r="Q206" s="2"/>
      <c r="R206" s="2"/>
      <c r="S206" s="2"/>
    </row>
    <row r="207" spans="3:19">
      <c r="C207" s="1" t="s">
        <v>24</v>
      </c>
      <c r="D207" s="5" t="s">
        <v>88</v>
      </c>
      <c r="E207" s="1" t="s">
        <v>25</v>
      </c>
      <c r="F207" s="1"/>
      <c r="H207" s="7" t="str">
        <f t="shared" ref="H207:H245" si="16">_xlfn.CONCAT(C207:F207)</f>
        <v>"Verglasung",</v>
      </c>
      <c r="J207" s="1" t="s">
        <v>24</v>
      </c>
      <c r="K207" s="5"/>
      <c r="L207" s="1" t="s">
        <v>25</v>
      </c>
      <c r="M207" s="1"/>
      <c r="O207" s="7" t="str">
        <f t="shared" ref="O207:O245" si="17">_xlfn.CONCAT(J207:M207)</f>
        <v>"",</v>
      </c>
      <c r="P207" s="2"/>
      <c r="Q207" s="2"/>
      <c r="R207" s="2"/>
      <c r="S207" s="2"/>
    </row>
    <row r="208" spans="3:19">
      <c r="C208" s="1" t="s">
        <v>24</v>
      </c>
      <c r="D208" s="5" t="s">
        <v>89</v>
      </c>
      <c r="E208" s="1" t="s">
        <v>25</v>
      </c>
      <c r="F208" s="1"/>
      <c r="H208" s="7" t="str">
        <f t="shared" si="16"/>
        <v>"Haupttyp Fenster",</v>
      </c>
      <c r="J208" s="1" t="s">
        <v>24</v>
      </c>
      <c r="K208" s="5"/>
      <c r="L208" s="1" t="s">
        <v>25</v>
      </c>
      <c r="M208" s="1"/>
      <c r="O208" s="7" t="str">
        <f t="shared" si="17"/>
        <v>"",</v>
      </c>
      <c r="P208" s="2"/>
      <c r="Q208" s="2"/>
      <c r="R208" s="2"/>
      <c r="S208" s="2"/>
    </row>
    <row r="209" spans="3:19">
      <c r="C209" s="1" t="s">
        <v>24</v>
      </c>
      <c r="D209" s="5" t="s">
        <v>90</v>
      </c>
      <c r="E209" s="1" t="s">
        <v>25</v>
      </c>
      <c r="F209" s="1"/>
      <c r="H209" s="7" t="str">
        <f t="shared" si="16"/>
        <v>"weiterer Typ Fenster",</v>
      </c>
      <c r="J209" s="1" t="s">
        <v>24</v>
      </c>
      <c r="K209" s="5"/>
      <c r="L209" s="1" t="s">
        <v>25</v>
      </c>
      <c r="M209" s="1"/>
      <c r="O209" s="7" t="str">
        <f t="shared" si="17"/>
        <v>"",</v>
      </c>
      <c r="P209" s="2"/>
      <c r="Q209" s="2"/>
      <c r="R209" s="2"/>
      <c r="S209" s="2"/>
    </row>
    <row r="210" spans="3:19">
      <c r="C210" s="1" t="s">
        <v>24</v>
      </c>
      <c r="D210" s="5" t="s">
        <v>91</v>
      </c>
      <c r="E210" s="1" t="s">
        <v>25</v>
      </c>
      <c r="F210" s="1"/>
      <c r="H210" s="7" t="str">
        <f t="shared" si="16"/>
        <v>"% der Fensterfläche",</v>
      </c>
      <c r="J210" s="1" t="s">
        <v>24</v>
      </c>
      <c r="K210" s="5"/>
      <c r="L210" s="1" t="s">
        <v>25</v>
      </c>
      <c r="M210" s="1"/>
      <c r="O210" s="7" t="str">
        <f t="shared" si="17"/>
        <v>"",</v>
      </c>
      <c r="P210" s="2"/>
      <c r="Q210" s="2"/>
      <c r="R210" s="2"/>
      <c r="S210" s="2"/>
    </row>
    <row r="211" spans="3:19">
      <c r="C211" s="1" t="s">
        <v>24</v>
      </c>
      <c r="D211" s="5" t="s">
        <v>92</v>
      </c>
      <c r="E211" s="1" t="s">
        <v>25</v>
      </c>
      <c r="F211" s="1"/>
      <c r="H211" s="7" t="str">
        <f t="shared" si="16"/>
        <v>"(Rest = Haupttyp Fenster)",</v>
      </c>
      <c r="J211" s="1" t="s">
        <v>24</v>
      </c>
      <c r="K211" s="5" t="s">
        <v>146</v>
      </c>
      <c r="L211" s="1" t="s">
        <v>25</v>
      </c>
      <c r="M211" s="1"/>
      <c r="O211" s="7" t="str">
        <f t="shared" si="17"/>
        <v>"=f_Area_WindowType2/100",</v>
      </c>
      <c r="P211" s="2"/>
      <c r="Q211" s="2"/>
      <c r="R211" s="2"/>
      <c r="S211" s="2"/>
    </row>
    <row r="212" spans="3:19">
      <c r="C212" s="1" t="s">
        <v>24</v>
      </c>
      <c r="D212" s="5"/>
      <c r="E212" s="1" t="s">
        <v>25</v>
      </c>
      <c r="F212" s="1"/>
      <c r="H212" s="7" t="str">
        <f t="shared" si="16"/>
        <v>"",</v>
      </c>
      <c r="J212" s="1" t="s">
        <v>24</v>
      </c>
      <c r="K212" s="5" t="s">
        <v>147</v>
      </c>
      <c r="L212" s="1" t="s">
        <v>25</v>
      </c>
      <c r="M212" s="1"/>
      <c r="O212" s="7" t="str">
        <f t="shared" si="17"/>
        <v>"1p",</v>
      </c>
      <c r="P212" s="2"/>
      <c r="Q212" s="2"/>
      <c r="R212" s="2"/>
      <c r="S212" s="2"/>
    </row>
    <row r="213" spans="3:19">
      <c r="C213" s="1" t="s">
        <v>24</v>
      </c>
      <c r="D213" s="5"/>
      <c r="E213" s="1" t="s">
        <v>25</v>
      </c>
      <c r="F213" s="1"/>
      <c r="H213" s="7" t="str">
        <f t="shared" si="16"/>
        <v>"",</v>
      </c>
      <c r="J213" s="1" t="s">
        <v>24</v>
      </c>
      <c r="K213" s="5" t="s">
        <v>56</v>
      </c>
      <c r="L213" s="1" t="s">
        <v>25</v>
      </c>
      <c r="M213" s="1"/>
      <c r="O213" s="7" t="str">
        <f t="shared" si="17"/>
        <v>"_NA_",</v>
      </c>
      <c r="P213" s="2"/>
      <c r="Q213" s="2"/>
      <c r="R213" s="2"/>
      <c r="S213" s="2"/>
    </row>
    <row r="214" spans="3:19">
      <c r="C214" s="1" t="s">
        <v>24</v>
      </c>
      <c r="D214" s="5" t="s">
        <v>93</v>
      </c>
      <c r="E214" s="1" t="s">
        <v>25</v>
      </c>
      <c r="F214" s="1"/>
      <c r="H214" s="7" t="str">
        <f t="shared" si="16"/>
        <v>"1 Scheibe",</v>
      </c>
      <c r="J214" s="1" t="s">
        <v>24</v>
      </c>
      <c r="K214" s="5" t="s">
        <v>147</v>
      </c>
      <c r="L214" s="1" t="s">
        <v>25</v>
      </c>
      <c r="M214" s="1"/>
      <c r="O214" s="7" t="str">
        <f t="shared" si="17"/>
        <v>"1p",</v>
      </c>
      <c r="P214" s="2"/>
      <c r="Q214" s="2"/>
      <c r="R214" s="2"/>
      <c r="S214" s="2"/>
    </row>
    <row r="215" spans="3:19">
      <c r="C215" s="1" t="s">
        <v>24</v>
      </c>
      <c r="D215" s="5" t="s">
        <v>94</v>
      </c>
      <c r="E215" s="1" t="s">
        <v>25</v>
      </c>
      <c r="F215" s="1"/>
      <c r="H215" s="7" t="str">
        <f t="shared" si="16"/>
        <v>"2 Scheiben",</v>
      </c>
      <c r="J215" s="1" t="s">
        <v>24</v>
      </c>
      <c r="K215" s="5" t="s">
        <v>148</v>
      </c>
      <c r="L215" s="1" t="s">
        <v>25</v>
      </c>
      <c r="M215" s="1"/>
      <c r="O215" s="7" t="str">
        <f t="shared" si="17"/>
        <v>"2p",</v>
      </c>
      <c r="P215" s="2"/>
      <c r="Q215" s="2"/>
      <c r="R215" s="2"/>
      <c r="S215" s="2"/>
    </row>
    <row r="216" spans="3:19">
      <c r="C216" s="1" t="s">
        <v>24</v>
      </c>
      <c r="D216" s="5" t="s">
        <v>95</v>
      </c>
      <c r="E216" s="1" t="s">
        <v>25</v>
      </c>
      <c r="F216" s="1"/>
      <c r="H216" s="7" t="str">
        <f t="shared" si="16"/>
        <v>"3 Scheiben",</v>
      </c>
      <c r="J216" s="1" t="s">
        <v>24</v>
      </c>
      <c r="K216" s="5" t="s">
        <v>149</v>
      </c>
      <c r="L216" s="1" t="s">
        <v>25</v>
      </c>
      <c r="M216" s="1"/>
      <c r="O216" s="7" t="str">
        <f t="shared" si="17"/>
        <v>"3p",</v>
      </c>
      <c r="P216" s="2"/>
      <c r="Q216" s="2"/>
      <c r="R216" s="2"/>
      <c r="S216" s="2"/>
    </row>
    <row r="217" spans="3:19">
      <c r="C217" s="1" t="s">
        <v>24</v>
      </c>
      <c r="D217" s="5" t="s">
        <v>96</v>
      </c>
      <c r="E217" s="1" t="s">
        <v>25</v>
      </c>
      <c r="F217" s="1"/>
      <c r="H217" s="7" t="str">
        <f t="shared" si="16"/>
        <v>"keine Angaben / unbekannt",</v>
      </c>
      <c r="J217" s="1" t="s">
        <v>24</v>
      </c>
      <c r="K217" s="5" t="s">
        <v>56</v>
      </c>
      <c r="L217" s="1" t="s">
        <v>24</v>
      </c>
      <c r="M217" s="1"/>
      <c r="O217" s="7" t="str">
        <f t="shared" si="17"/>
        <v>"_NA_"</v>
      </c>
      <c r="P217" s="2"/>
      <c r="Q217" s="2"/>
      <c r="R217" s="2"/>
      <c r="S217" s="2"/>
    </row>
    <row r="218" spans="3:19">
      <c r="C218" s="1" t="s">
        <v>24</v>
      </c>
      <c r="D218" s="5"/>
      <c r="E218" s="1" t="s">
        <v>25</v>
      </c>
      <c r="F218" s="1"/>
      <c r="H218" s="7" t="str">
        <f t="shared" si="16"/>
        <v>"",</v>
      </c>
      <c r="J218" s="1" t="s">
        <v>24</v>
      </c>
      <c r="K218" s="5"/>
      <c r="L218" s="1" t="s">
        <v>25</v>
      </c>
      <c r="M218" s="1"/>
      <c r="O218" s="7" t="str">
        <f t="shared" si="17"/>
        <v>"",</v>
      </c>
      <c r="P218" s="2"/>
      <c r="Q218" s="2"/>
      <c r="R218" s="2"/>
      <c r="S218" s="2"/>
    </row>
    <row r="219" spans="3:19">
      <c r="C219" s="1" t="s">
        <v>24</v>
      </c>
      <c r="D219" s="5"/>
      <c r="E219" s="1" t="s">
        <v>25</v>
      </c>
      <c r="F219" s="1"/>
      <c r="H219" s="7" t="str">
        <f t="shared" si="16"/>
        <v>"",</v>
      </c>
      <c r="J219" s="1" t="s">
        <v>24</v>
      </c>
      <c r="K219" s="5"/>
      <c r="L219" s="1" t="s">
        <v>25</v>
      </c>
      <c r="M219" s="1"/>
      <c r="O219" s="7" t="str">
        <f t="shared" si="17"/>
        <v>"",</v>
      </c>
      <c r="P219" s="2"/>
      <c r="Q219" s="2"/>
      <c r="R219" s="2"/>
      <c r="S219" s="2"/>
    </row>
    <row r="220" spans="3:19">
      <c r="C220" s="1" t="s">
        <v>24</v>
      </c>
      <c r="D220" s="5"/>
      <c r="E220" s="1" t="s">
        <v>25</v>
      </c>
      <c r="F220" s="1"/>
      <c r="H220" s="7" t="str">
        <f t="shared" si="16"/>
        <v>"",</v>
      </c>
      <c r="J220" s="1" t="s">
        <v>24</v>
      </c>
      <c r="K220" s="5"/>
      <c r="L220" s="1" t="s">
        <v>25</v>
      </c>
      <c r="M220" s="1"/>
      <c r="O220" s="7" t="str">
        <f t="shared" si="17"/>
        <v>"",</v>
      </c>
      <c r="P220" s="2"/>
      <c r="Q220" s="2"/>
      <c r="R220" s="2"/>
      <c r="S220" s="2"/>
    </row>
    <row r="221" spans="3:19">
      <c r="C221" s="1" t="s">
        <v>24</v>
      </c>
      <c r="D221" s="5" t="s">
        <v>97</v>
      </c>
      <c r="E221" s="1" t="s">
        <v>25</v>
      </c>
      <c r="F221" s="1"/>
      <c r="H221" s="7" t="str">
        <f t="shared" si="16"/>
        <v>"Wärmeschutz-Vergl.",</v>
      </c>
      <c r="J221" s="1" t="s">
        <v>24</v>
      </c>
      <c r="K221" s="5"/>
      <c r="L221" s="1" t="s">
        <v>25</v>
      </c>
      <c r="M221" s="1"/>
      <c r="O221" s="7" t="str">
        <f t="shared" si="17"/>
        <v>"",</v>
      </c>
      <c r="P221" s="2"/>
      <c r="Q221" s="2"/>
      <c r="R221" s="2"/>
      <c r="S221" s="2"/>
    </row>
    <row r="222" spans="3:19">
      <c r="C222" s="1" t="s">
        <v>24</v>
      </c>
      <c r="D222" s="5" t="s">
        <v>97</v>
      </c>
      <c r="E222" s="1" t="s">
        <v>25</v>
      </c>
      <c r="F222" s="1"/>
      <c r="H222" s="7" t="str">
        <f t="shared" si="16"/>
        <v>"Wärmeschutz-Vergl.",</v>
      </c>
      <c r="J222" s="1" t="s">
        <v>24</v>
      </c>
      <c r="K222" s="5"/>
      <c r="L222" s="1" t="s">
        <v>25</v>
      </c>
      <c r="M222" s="1"/>
      <c r="O222" s="7" t="str">
        <f t="shared" si="17"/>
        <v>"",</v>
      </c>
      <c r="P222" s="2"/>
      <c r="Q222" s="2"/>
      <c r="R222" s="2"/>
      <c r="S222" s="2"/>
    </row>
    <row r="223" spans="3:19">
      <c r="C223" s="1" t="s">
        <v>24</v>
      </c>
      <c r="D223" s="5" t="s">
        <v>98</v>
      </c>
      <c r="E223" s="1" t="s">
        <v>25</v>
      </c>
      <c r="F223" s="1"/>
      <c r="H223" s="7" t="str">
        <f t="shared" si="16"/>
        <v>"Rahmen",</v>
      </c>
      <c r="J223" s="1" t="s">
        <v>24</v>
      </c>
      <c r="K223" s="5" t="s">
        <v>150</v>
      </c>
      <c r="L223" s="1" t="s">
        <v>25</v>
      </c>
      <c r="M223" s="1"/>
      <c r="O223" s="7" t="str">
        <f t="shared" si="17"/>
        <v>"Metal",</v>
      </c>
      <c r="P223" s="2"/>
      <c r="Q223" s="2"/>
      <c r="R223" s="2"/>
      <c r="S223" s="2"/>
    </row>
    <row r="224" spans="3:19">
      <c r="C224" s="1" t="s">
        <v>24</v>
      </c>
      <c r="D224" s="5" t="s">
        <v>98</v>
      </c>
      <c r="E224" s="1" t="s">
        <v>25</v>
      </c>
      <c r="F224" s="1"/>
      <c r="H224" s="7" t="str">
        <f t="shared" si="16"/>
        <v>"Rahmen",</v>
      </c>
      <c r="J224" s="1" t="s">
        <v>24</v>
      </c>
      <c r="K224" s="5" t="s">
        <v>56</v>
      </c>
      <c r="L224" s="1" t="s">
        <v>25</v>
      </c>
      <c r="M224" s="1"/>
      <c r="O224" s="7" t="str">
        <f t="shared" si="17"/>
        <v>"_NA_",</v>
      </c>
      <c r="P224" s="2"/>
      <c r="Q224" s="2"/>
      <c r="R224" s="2"/>
      <c r="S224" s="2"/>
    </row>
    <row r="225" spans="3:19">
      <c r="C225" s="1" t="s">
        <v>24</v>
      </c>
      <c r="D225" s="5" t="s">
        <v>99</v>
      </c>
      <c r="E225" s="1" t="s">
        <v>25</v>
      </c>
      <c r="F225" s="1"/>
      <c r="H225" s="7" t="str">
        <f t="shared" si="16"/>
        <v>"Holzrahmen",</v>
      </c>
      <c r="J225" s="1" t="s">
        <v>24</v>
      </c>
      <c r="K225" s="5" t="s">
        <v>151</v>
      </c>
      <c r="L225" s="1" t="s">
        <v>25</v>
      </c>
      <c r="M225" s="1"/>
      <c r="O225" s="7" t="str">
        <f t="shared" si="17"/>
        <v>"Wood",</v>
      </c>
      <c r="P225" s="2"/>
      <c r="Q225" s="2"/>
      <c r="R225" s="2"/>
      <c r="S225" s="2"/>
    </row>
    <row r="226" spans="3:19">
      <c r="C226" s="1" t="s">
        <v>24</v>
      </c>
      <c r="D226" s="5" t="s">
        <v>100</v>
      </c>
      <c r="E226" s="1" t="s">
        <v>25</v>
      </c>
      <c r="F226" s="1"/>
      <c r="H226" s="7" t="str">
        <f t="shared" si="16"/>
        <v>"Kunststoff-rahmen",</v>
      </c>
      <c r="J226" s="1" t="s">
        <v>24</v>
      </c>
      <c r="K226" s="5" t="s">
        <v>152</v>
      </c>
      <c r="L226" s="1" t="s">
        <v>25</v>
      </c>
      <c r="M226" s="1"/>
      <c r="O226" s="7" t="str">
        <f t="shared" si="17"/>
        <v>"Plastic",</v>
      </c>
      <c r="P226" s="2"/>
      <c r="Q226" s="2"/>
      <c r="R226" s="2"/>
      <c r="S226" s="2"/>
    </row>
    <row r="227" spans="3:19">
      <c r="C227" s="1" t="s">
        <v>24</v>
      </c>
      <c r="D227" s="5" t="s">
        <v>101</v>
      </c>
      <c r="E227" s="1" t="s">
        <v>25</v>
      </c>
      <c r="F227" s="1"/>
      <c r="H227" s="7" t="str">
        <f t="shared" si="16"/>
        <v>"Alu- oder Stahlrahmen",</v>
      </c>
      <c r="J227" s="1" t="s">
        <v>24</v>
      </c>
      <c r="K227" s="5" t="s">
        <v>150</v>
      </c>
      <c r="L227" s="1" t="s">
        <v>25</v>
      </c>
      <c r="M227" s="1"/>
      <c r="O227" s="7" t="str">
        <f t="shared" si="17"/>
        <v>"Metal",</v>
      </c>
      <c r="P227" s="2"/>
      <c r="Q227" s="2"/>
      <c r="R227" s="2"/>
      <c r="S227" s="2"/>
    </row>
    <row r="228" spans="3:19">
      <c r="C228" s="1" t="s">
        <v>24</v>
      </c>
      <c r="D228" s="5" t="s">
        <v>102</v>
      </c>
      <c r="E228" s="1" t="s">
        <v>25</v>
      </c>
      <c r="F228" s="1"/>
      <c r="H228" s="7" t="str">
        <f t="shared" si="16"/>
        <v>"andere",</v>
      </c>
      <c r="J228" s="1" t="s">
        <v>24</v>
      </c>
      <c r="K228" s="5" t="s">
        <v>61</v>
      </c>
      <c r="L228" s="1" t="s">
        <v>25</v>
      </c>
      <c r="M228" s="1"/>
      <c r="O228" s="7" t="str">
        <f t="shared" si="17"/>
        <v>"-",</v>
      </c>
      <c r="P228" s="2"/>
      <c r="Q228" s="2"/>
      <c r="R228" s="2"/>
      <c r="S228" s="2"/>
    </row>
    <row r="229" spans="3:19">
      <c r="C229" s="1" t="s">
        <v>24</v>
      </c>
      <c r="D229" s="5" t="s">
        <v>103</v>
      </c>
      <c r="E229" s="1" t="s">
        <v>25</v>
      </c>
      <c r="F229" s="1"/>
      <c r="H229" s="7" t="str">
        <f t="shared" si="16"/>
        <v>"unbekannt",</v>
      </c>
      <c r="J229" s="1" t="s">
        <v>24</v>
      </c>
      <c r="K229" s="5" t="s">
        <v>56</v>
      </c>
      <c r="L229" s="1" t="s">
        <v>24</v>
      </c>
      <c r="M229" s="1"/>
      <c r="O229" s="7" t="str">
        <f t="shared" si="17"/>
        <v>"_NA_"</v>
      </c>
      <c r="P229" s="2"/>
      <c r="Q229" s="2"/>
      <c r="R229" s="2"/>
      <c r="S229" s="2"/>
    </row>
    <row r="230" spans="3:19">
      <c r="C230" s="1" t="s">
        <v>24</v>
      </c>
      <c r="D230" s="5" t="s">
        <v>104</v>
      </c>
      <c r="E230" s="1" t="s">
        <v>25</v>
      </c>
      <c r="F230" s="1"/>
      <c r="H230" s="7" t="str">
        <f t="shared" si="16"/>
        <v>"Passivhaus-Fenster (3 Scheiben + gedämmter Rahmen)",</v>
      </c>
      <c r="J230" s="1" t="s">
        <v>24</v>
      </c>
      <c r="K230" s="5"/>
      <c r="L230" s="1" t="s">
        <v>25</v>
      </c>
      <c r="M230" s="1"/>
      <c r="O230" s="7" t="str">
        <f t="shared" si="17"/>
        <v>"",</v>
      </c>
      <c r="P230" s="2"/>
      <c r="Q230" s="2"/>
      <c r="R230" s="2"/>
      <c r="S230" s="2"/>
    </row>
    <row r="231" spans="3:19">
      <c r="C231" s="1" t="s">
        <v>24</v>
      </c>
      <c r="D231" s="5" t="s">
        <v>104</v>
      </c>
      <c r="E231" s="1" t="s">
        <v>25</v>
      </c>
      <c r="F231" s="1"/>
      <c r="H231" s="7" t="str">
        <f t="shared" si="16"/>
        <v>"Passivhaus-Fenster (3 Scheiben + gedämmter Rahmen)",</v>
      </c>
      <c r="J231" s="1" t="s">
        <v>24</v>
      </c>
      <c r="K231" s="5"/>
      <c r="L231" s="1" t="s">
        <v>25</v>
      </c>
      <c r="M231" s="1"/>
      <c r="O231" s="7" t="str">
        <f t="shared" si="17"/>
        <v>"",</v>
      </c>
      <c r="P231" s="2"/>
      <c r="Q231" s="2"/>
      <c r="R231" s="2"/>
      <c r="S231" s="2"/>
    </row>
    <row r="232" spans="3:19">
      <c r="C232" s="1" t="s">
        <v>24</v>
      </c>
      <c r="D232" s="5" t="s">
        <v>105</v>
      </c>
      <c r="E232" s="1" t="s">
        <v>25</v>
      </c>
      <c r="F232" s="1"/>
      <c r="H232" s="7" t="str">
        <f t="shared" si="16"/>
        <v>"(U≤0.8W/(m²K))",</v>
      </c>
      <c r="J232" s="1" t="s">
        <v>24</v>
      </c>
      <c r="K232" s="5"/>
      <c r="L232" s="1" t="s">
        <v>25</v>
      </c>
      <c r="M232" s="1"/>
      <c r="O232" s="7" t="str">
        <f t="shared" si="17"/>
        <v>"",</v>
      </c>
      <c r="P232" s="2"/>
      <c r="Q232" s="2"/>
      <c r="R232" s="2"/>
      <c r="S232" s="2"/>
    </row>
    <row r="233" spans="3:19">
      <c r="C233" s="1" t="s">
        <v>24</v>
      </c>
      <c r="D233" s="5" t="s">
        <v>106</v>
      </c>
      <c r="E233" s="1" t="s">
        <v>25</v>
      </c>
      <c r="F233" s="1"/>
      <c r="H233" s="7" t="str">
        <f t="shared" si="16"/>
        <v>"Jahr des Fenstereinbaus (ca.):",</v>
      </c>
      <c r="J233" s="1" t="s">
        <v>24</v>
      </c>
      <c r="K233" s="5" t="s">
        <v>153</v>
      </c>
      <c r="L233" s="1" t="s">
        <v>25</v>
      </c>
      <c r="M233" s="1"/>
      <c r="O233" s="7" t="str">
        <f t="shared" si="17"/>
        <v>"=Year_Installation_WindowType1",</v>
      </c>
      <c r="P233" s="2"/>
      <c r="Q233" s="2"/>
      <c r="R233" s="2"/>
      <c r="S233" s="2"/>
    </row>
    <row r="234" spans="3:19">
      <c r="C234" s="1" t="s">
        <v>24</v>
      </c>
      <c r="D234" s="5" t="s">
        <v>106</v>
      </c>
      <c r="E234" s="1" t="s">
        <v>25</v>
      </c>
      <c r="F234" s="1"/>
      <c r="H234" s="7" t="str">
        <f t="shared" si="16"/>
        <v>"Jahr des Fenstereinbaus (ca.):",</v>
      </c>
      <c r="J234" s="1" t="s">
        <v>24</v>
      </c>
      <c r="K234" s="5" t="s">
        <v>154</v>
      </c>
      <c r="L234" s="1" t="s">
        <v>25</v>
      </c>
      <c r="M234" s="1"/>
      <c r="O234" s="7" t="str">
        <f t="shared" si="17"/>
        <v>"=Year_Installation_WindowType2",</v>
      </c>
      <c r="P234" s="2"/>
      <c r="Q234" s="2"/>
      <c r="R234" s="2"/>
      <c r="S234" s="2"/>
    </row>
    <row r="235" spans="3:19">
      <c r="C235" s="1" t="s">
        <v>24</v>
      </c>
      <c r="D235" s="5" t="s">
        <v>107</v>
      </c>
      <c r="E235" s="1" t="s">
        <v>25</v>
      </c>
      <c r="F235" s="1"/>
      <c r="H235" s="7" t="str">
        <f t="shared" si="16"/>
        <v>"Flächenanteil",</v>
      </c>
      <c r="J235" s="1" t="s">
        <v>24</v>
      </c>
      <c r="K235" s="5"/>
      <c r="L235" s="1" t="s">
        <v>25</v>
      </c>
      <c r="M235" s="1"/>
      <c r="O235" s="7" t="str">
        <f t="shared" si="17"/>
        <v>"",</v>
      </c>
      <c r="P235" s="2"/>
      <c r="Q235" s="2"/>
      <c r="R235" s="2"/>
      <c r="S235" s="2"/>
    </row>
    <row r="236" spans="3:19">
      <c r="C236" s="1" t="s">
        <v>24</v>
      </c>
      <c r="D236" s="5"/>
      <c r="E236" s="1" t="s">
        <v>25</v>
      </c>
      <c r="F236" s="1"/>
      <c r="H236" s="7" t="str">
        <f t="shared" si="16"/>
        <v>"",</v>
      </c>
      <c r="J236" s="1" t="s">
        <v>24</v>
      </c>
      <c r="K236" s="5"/>
      <c r="L236" s="1" t="s">
        <v>25</v>
      </c>
      <c r="M236" s="1"/>
      <c r="O236" s="7" t="str">
        <f t="shared" si="17"/>
        <v>"",</v>
      </c>
      <c r="P236" s="2"/>
      <c r="Q236" s="2"/>
      <c r="R236" s="2"/>
      <c r="S236" s="2"/>
    </row>
    <row r="237" spans="3:19">
      <c r="C237" s="1" t="s">
        <v>24</v>
      </c>
      <c r="D237" s="5" t="s">
        <v>108</v>
      </c>
      <c r="E237" s="1" t="s">
        <v>25</v>
      </c>
      <c r="F237" s="1"/>
      <c r="H237" s="7" t="str">
        <f t="shared" si="16"/>
        <v>"Energieprofil",</v>
      </c>
      <c r="J237" s="1" t="s">
        <v>24</v>
      </c>
      <c r="K237" s="5"/>
      <c r="L237" s="1" t="s">
        <v>25</v>
      </c>
      <c r="M237" s="1"/>
      <c r="O237" s="7" t="str">
        <f t="shared" si="17"/>
        <v>"",</v>
      </c>
      <c r="P237" s="2"/>
      <c r="Q237" s="2"/>
      <c r="R237" s="2"/>
      <c r="S237" s="2"/>
    </row>
    <row r="238" spans="3:19">
      <c r="C238" s="1" t="s">
        <v>24</v>
      </c>
      <c r="D238" s="5" t="s">
        <v>109</v>
      </c>
      <c r="E238" s="1" t="s">
        <v>25</v>
      </c>
      <c r="F238" s="1"/>
      <c r="H238" s="7" t="str">
        <f t="shared" si="16"/>
        <v>"Gebäudehülle - zusätzliche Eingaben für Experten",</v>
      </c>
      <c r="J238" s="1" t="s">
        <v>24</v>
      </c>
      <c r="K238" s="5"/>
      <c r="L238" s="1" t="s">
        <v>25</v>
      </c>
      <c r="M238" s="1"/>
      <c r="O238" s="7" t="str">
        <f t="shared" si="17"/>
        <v>"",</v>
      </c>
      <c r="P238" s="2"/>
      <c r="Q238" s="2"/>
      <c r="R238" s="2"/>
      <c r="S238" s="2"/>
    </row>
    <row r="239" spans="3:19">
      <c r="C239" s="1" t="s">
        <v>24</v>
      </c>
      <c r="D239" s="5" t="s">
        <v>110</v>
      </c>
      <c r="E239" s="1" t="s">
        <v>25</v>
      </c>
      <c r="F239" s="1"/>
      <c r="H239" s="7" t="str">
        <f t="shared" si="16"/>
        <v>"Experten-Eingaben für den Energieprofil-Fragebogen",</v>
      </c>
      <c r="J239" s="1" t="s">
        <v>24</v>
      </c>
      <c r="K239" s="5"/>
      <c r="L239" s="1" t="s">
        <v>25</v>
      </c>
      <c r="M239" s="1"/>
      <c r="O239" s="7" t="str">
        <f t="shared" si="17"/>
        <v>"",</v>
      </c>
      <c r="P239" s="2"/>
      <c r="Q239" s="2"/>
      <c r="R239" s="2"/>
      <c r="S239" s="2"/>
    </row>
    <row r="240" spans="3:19">
      <c r="C240" s="1" t="s">
        <v>24</v>
      </c>
      <c r="D240" s="5"/>
      <c r="E240" s="1" t="s">
        <v>25</v>
      </c>
      <c r="F240" s="1"/>
      <c r="H240" s="7" t="str">
        <f t="shared" si="16"/>
        <v>"",</v>
      </c>
      <c r="J240" s="1" t="s">
        <v>24</v>
      </c>
      <c r="K240" s="5"/>
      <c r="L240" s="1" t="s">
        <v>25</v>
      </c>
      <c r="M240" s="1"/>
      <c r="O240" s="7" t="str">
        <f t="shared" si="17"/>
        <v>"",</v>
      </c>
      <c r="P240" s="2"/>
      <c r="Q240" s="2"/>
      <c r="R240" s="2"/>
      <c r="S240" s="2"/>
    </row>
    <row r="241" spans="3:19">
      <c r="C241" s="1" t="s">
        <v>24</v>
      </c>
      <c r="D241" s="5" t="s">
        <v>111</v>
      </c>
      <c r="E241" s="1" t="s">
        <v>25</v>
      </c>
      <c r="F241" s="1"/>
      <c r="H241" s="7" t="str">
        <f t="shared" si="16"/>
        <v>"= verwendet in der Berechnung",</v>
      </c>
      <c r="J241" s="1" t="s">
        <v>24</v>
      </c>
      <c r="K241" s="5"/>
      <c r="L241" s="1" t="s">
        <v>25</v>
      </c>
      <c r="M241" s="1"/>
      <c r="O241" s="7" t="str">
        <f t="shared" si="17"/>
        <v>"",</v>
      </c>
      <c r="P241" s="2"/>
      <c r="Q241" s="2"/>
      <c r="R241" s="2"/>
      <c r="S241" s="2"/>
    </row>
    <row r="242" spans="3:19">
      <c r="C242" s="1" t="s">
        <v>24</v>
      </c>
      <c r="D242" s="5" t="s">
        <v>111</v>
      </c>
      <c r="E242" s="1" t="s">
        <v>25</v>
      </c>
      <c r="F242" s="1"/>
      <c r="H242" s="7" t="str">
        <f t="shared" si="16"/>
        <v>"= verwendet in der Berechnung",</v>
      </c>
      <c r="J242" s="1" t="s">
        <v>24</v>
      </c>
      <c r="K242" s="5"/>
      <c r="L242" s="1" t="s">
        <v>25</v>
      </c>
      <c r="M242" s="1"/>
      <c r="O242" s="7" t="str">
        <f t="shared" si="17"/>
        <v>"",</v>
      </c>
      <c r="P242" s="2"/>
      <c r="Q242" s="2"/>
      <c r="R242" s="2"/>
      <c r="S242" s="2"/>
    </row>
    <row r="243" spans="3:19">
      <c r="C243" s="1" t="s">
        <v>24</v>
      </c>
      <c r="D243" s="5" t="s">
        <v>112</v>
      </c>
      <c r="E243" s="1" t="s">
        <v>25</v>
      </c>
      <c r="F243" s="1"/>
      <c r="H243" s="7" t="str">
        <f t="shared" si="16"/>
        <v>"Wärmebrücken und Dichtheit der Hülle",</v>
      </c>
      <c r="J243" s="1" t="s">
        <v>24</v>
      </c>
      <c r="K243" s="5"/>
      <c r="L243" s="1" t="s">
        <v>25</v>
      </c>
      <c r="M243" s="1"/>
      <c r="O243" s="7" t="str">
        <f t="shared" si="17"/>
        <v>"",</v>
      </c>
      <c r="P243" s="2"/>
      <c r="Q243" s="2"/>
      <c r="R243" s="2"/>
      <c r="S243" s="2"/>
    </row>
    <row r="244" spans="3:19">
      <c r="C244" s="1" t="s">
        <v>24</v>
      </c>
      <c r="D244" s="5" t="s">
        <v>113</v>
      </c>
      <c r="E244" s="1" t="s">
        <v>25</v>
      </c>
      <c r="F244" s="1"/>
      <c r="H244" s="7" t="str">
        <f t="shared" si="16"/>
        <v>"Details der Wärmedämmung",</v>
      </c>
      <c r="J244" s="1" t="s">
        <v>24</v>
      </c>
      <c r="K244" s="5"/>
      <c r="L244" s="1" t="s">
        <v>25</v>
      </c>
      <c r="M244" s="1"/>
      <c r="O244" s="7" t="str">
        <f t="shared" si="17"/>
        <v>"",</v>
      </c>
      <c r="P244" s="2"/>
      <c r="Q244" s="2"/>
      <c r="R244" s="2"/>
      <c r="S244" s="2"/>
    </row>
    <row r="245" spans="3:19">
      <c r="C245" s="1" t="s">
        <v>24</v>
      </c>
      <c r="D245" s="5" t="s">
        <v>114</v>
      </c>
      <c r="E245" s="1" t="s">
        <v>25</v>
      </c>
      <c r="F245" s="1"/>
      <c r="H245" s="7" t="str">
        <f t="shared" si="16"/>
        <v>"Wärmebrücken",</v>
      </c>
      <c r="J245" s="1" t="s">
        <v>24</v>
      </c>
      <c r="K245" s="5" t="s">
        <v>56</v>
      </c>
      <c r="L245" s="1" t="s">
        <v>25</v>
      </c>
      <c r="M245" s="1"/>
      <c r="O245" s="7" t="str">
        <f t="shared" si="17"/>
        <v>"_NA_",</v>
      </c>
      <c r="P245" s="2"/>
      <c r="Q245" s="2"/>
      <c r="R245" s="2"/>
      <c r="S245" s="2"/>
    </row>
    <row r="246" spans="3:19">
      <c r="C246" s="1" t="s">
        <v>24</v>
      </c>
      <c r="D246" s="5" t="s">
        <v>115</v>
      </c>
      <c r="E246" s="1" t="s">
        <v>25</v>
      </c>
      <c r="F246" s="1"/>
      <c r="H246" s="7" t="str">
        <f t="shared" ref="H246:H284" si="18">_xlfn.CONCAT(C246:F246)</f>
        <v>"minimal",</v>
      </c>
      <c r="J246" s="1" t="s">
        <v>24</v>
      </c>
      <c r="K246" s="5" t="s">
        <v>133</v>
      </c>
      <c r="L246" s="1" t="s">
        <v>25</v>
      </c>
      <c r="M246" s="1"/>
      <c r="O246" s="7" t="str">
        <f t="shared" ref="O246:O284" si="19">_xlfn.CONCAT(J246:M246)</f>
        <v>"Minimal",</v>
      </c>
      <c r="P246" s="2"/>
      <c r="Q246" s="2"/>
      <c r="R246" s="2"/>
      <c r="S246" s="2"/>
    </row>
    <row r="247" spans="3:19">
      <c r="C247" s="1" t="s">
        <v>24</v>
      </c>
      <c r="D247" s="5" t="s">
        <v>116</v>
      </c>
      <c r="E247" s="1" t="s">
        <v>25</v>
      </c>
      <c r="F247" s="1"/>
      <c r="H247" s="7" t="str">
        <f t="shared" si="18"/>
        <v>"sehr gering",</v>
      </c>
      <c r="J247" s="1" t="s">
        <v>24</v>
      </c>
      <c r="K247" s="5" t="s">
        <v>155</v>
      </c>
      <c r="L247" s="1" t="s">
        <v>25</v>
      </c>
      <c r="M247" s="1"/>
      <c r="O247" s="7" t="str">
        <f t="shared" si="19"/>
        <v>"VeryLow",</v>
      </c>
      <c r="P247" s="2"/>
      <c r="Q247" s="2"/>
      <c r="R247" s="2"/>
      <c r="S247" s="2"/>
    </row>
    <row r="248" spans="3:19">
      <c r="C248" s="1" t="s">
        <v>24</v>
      </c>
      <c r="D248" s="5" t="s">
        <v>117</v>
      </c>
      <c r="E248" s="1" t="s">
        <v>25</v>
      </c>
      <c r="F248" s="1"/>
      <c r="H248" s="7" t="str">
        <f t="shared" si="18"/>
        <v>"gering",</v>
      </c>
      <c r="J248" s="1" t="s">
        <v>24</v>
      </c>
      <c r="K248" s="5" t="s">
        <v>134</v>
      </c>
      <c r="L248" s="1" t="s">
        <v>25</v>
      </c>
      <c r="M248" s="1"/>
      <c r="O248" s="7" t="str">
        <f t="shared" si="19"/>
        <v>"Low",</v>
      </c>
      <c r="P248" s="2"/>
      <c r="Q248" s="2"/>
      <c r="R248" s="2"/>
      <c r="S248" s="2"/>
    </row>
    <row r="249" spans="3:19">
      <c r="C249" s="1" t="s">
        <v>24</v>
      </c>
      <c r="D249" s="5" t="s">
        <v>118</v>
      </c>
      <c r="E249" s="1" t="s">
        <v>25</v>
      </c>
      <c r="F249" s="1"/>
      <c r="H249" s="7" t="str">
        <f t="shared" si="18"/>
        <v>"mittel",</v>
      </c>
      <c r="J249" s="1" t="s">
        <v>24</v>
      </c>
      <c r="K249" s="5" t="s">
        <v>135</v>
      </c>
      <c r="L249" s="1" t="s">
        <v>25</v>
      </c>
      <c r="M249" s="1"/>
      <c r="O249" s="7" t="str">
        <f t="shared" si="19"/>
        <v>"Medium",</v>
      </c>
      <c r="P249" s="2"/>
      <c r="Q249" s="2"/>
      <c r="R249" s="2"/>
      <c r="S249" s="2"/>
    </row>
    <row r="250" spans="3:19">
      <c r="C250" s="1" t="s">
        <v>24</v>
      </c>
      <c r="D250" s="5" t="s">
        <v>119</v>
      </c>
      <c r="E250" s="1" t="s">
        <v>25</v>
      </c>
      <c r="F250" s="1"/>
      <c r="H250" s="7" t="str">
        <f t="shared" si="18"/>
        <v>"hoch",</v>
      </c>
      <c r="J250" s="1" t="s">
        <v>24</v>
      </c>
      <c r="K250" s="5" t="s">
        <v>136</v>
      </c>
      <c r="L250" s="1" t="s">
        <v>25</v>
      </c>
      <c r="M250" s="1"/>
      <c r="O250" s="7" t="str">
        <f t="shared" si="19"/>
        <v>"High",</v>
      </c>
      <c r="P250" s="2"/>
      <c r="Q250" s="2"/>
      <c r="R250" s="2"/>
      <c r="S250" s="2"/>
    </row>
    <row r="251" spans="3:19">
      <c r="C251" s="1" t="s">
        <v>24</v>
      </c>
      <c r="D251" s="5" t="s">
        <v>120</v>
      </c>
      <c r="E251" s="1" t="s">
        <v>25</v>
      </c>
      <c r="F251" s="1"/>
      <c r="H251" s="7" t="str">
        <f t="shared" si="18"/>
        <v>"k.A.",</v>
      </c>
      <c r="J251" s="1" t="s">
        <v>24</v>
      </c>
      <c r="K251" s="5" t="s">
        <v>56</v>
      </c>
      <c r="L251" s="1" t="s">
        <v>24</v>
      </c>
      <c r="M251" s="1"/>
      <c r="O251" s="7" t="str">
        <f t="shared" si="19"/>
        <v>"_NA_"</v>
      </c>
      <c r="P251" s="2"/>
      <c r="Q251" s="2"/>
      <c r="R251" s="2"/>
      <c r="S251" s="2"/>
    </row>
    <row r="252" spans="3:19">
      <c r="C252" s="1" t="s">
        <v>24</v>
      </c>
      <c r="D252" s="5" t="s">
        <v>121</v>
      </c>
      <c r="E252" s="1" t="s">
        <v>25</v>
      </c>
      <c r="F252" s="1"/>
      <c r="H252" s="7" t="str">
        <f t="shared" si="18"/>
        <v>"Anhaltspunkte für Einordnung: zusätzliche Transmissionswärmeverluste, wenn bekannt",</v>
      </c>
      <c r="J252" s="1" t="s">
        <v>24</v>
      </c>
      <c r="K252" s="5"/>
      <c r="L252" s="1" t="s">
        <v>25</v>
      </c>
      <c r="M252" s="1"/>
      <c r="O252" s="7" t="str">
        <f t="shared" si="19"/>
        <v>"",</v>
      </c>
      <c r="P252" s="2"/>
      <c r="Q252" s="2"/>
      <c r="R252" s="2"/>
      <c r="S252" s="2"/>
    </row>
    <row r="253" spans="3:19">
      <c r="C253" s="1" t="s">
        <v>24</v>
      </c>
      <c r="D253" s="5" t="s">
        <v>122</v>
      </c>
      <c r="E253" s="1" t="s">
        <v>25</v>
      </c>
      <c r="F253" s="1"/>
      <c r="H253" s="7" t="str">
        <f t="shared" si="18"/>
        <v>"≤ 0,01",</v>
      </c>
      <c r="J253" s="1" t="s">
        <v>24</v>
      </c>
      <c r="K253" s="5"/>
      <c r="L253" s="1" t="s">
        <v>25</v>
      </c>
      <c r="M253" s="1"/>
      <c r="O253" s="7" t="str">
        <f t="shared" si="19"/>
        <v>"",</v>
      </c>
      <c r="P253" s="2"/>
      <c r="Q253" s="2"/>
      <c r="R253" s="2"/>
      <c r="S253" s="2"/>
    </row>
    <row r="254" spans="3:19">
      <c r="C254" s="1" t="s">
        <v>24</v>
      </c>
      <c r="D254" s="5" t="s">
        <v>123</v>
      </c>
      <c r="E254" s="1" t="s">
        <v>25</v>
      </c>
      <c r="F254" s="1"/>
      <c r="H254" s="7" t="str">
        <f t="shared" si="18"/>
        <v>"&gt; 0,01 &amp; ≤ 0,03",</v>
      </c>
      <c r="J254" s="1" t="s">
        <v>24</v>
      </c>
      <c r="K254" s="5"/>
      <c r="L254" s="1" t="s">
        <v>25</v>
      </c>
      <c r="M254" s="1"/>
      <c r="O254" s="7" t="str">
        <f t="shared" si="19"/>
        <v>"",</v>
      </c>
      <c r="P254" s="2"/>
      <c r="Q254" s="2"/>
      <c r="R254" s="2"/>
      <c r="S254" s="2"/>
    </row>
    <row r="255" spans="3:19">
      <c r="C255" s="1" t="s">
        <v>24</v>
      </c>
      <c r="D255" s="5" t="s">
        <v>124</v>
      </c>
      <c r="E255" s="1" t="s">
        <v>25</v>
      </c>
      <c r="F255" s="1"/>
      <c r="H255" s="7" t="str">
        <f t="shared" si="18"/>
        <v>"&gt; 0,03 &amp; ≤ 0,07",</v>
      </c>
      <c r="J255" s="1" t="s">
        <v>24</v>
      </c>
      <c r="K255" s="5"/>
      <c r="L255" s="1" t="s">
        <v>25</v>
      </c>
      <c r="M255" s="1"/>
      <c r="O255" s="7" t="str">
        <f t="shared" si="19"/>
        <v>"",</v>
      </c>
      <c r="P255" s="2"/>
      <c r="Q255" s="2"/>
      <c r="R255" s="2"/>
      <c r="S255" s="2"/>
    </row>
    <row r="256" spans="3:19">
      <c r="C256" s="1" t="s">
        <v>24</v>
      </c>
      <c r="D256" s="5" t="s">
        <v>125</v>
      </c>
      <c r="E256" s="1" t="s">
        <v>25</v>
      </c>
      <c r="F256" s="1"/>
      <c r="H256" s="7" t="str">
        <f t="shared" si="18"/>
        <v>"&gt; 0,07 &amp; ≤ 0,12",</v>
      </c>
      <c r="J256" s="1" t="s">
        <v>24</v>
      </c>
      <c r="K256" s="5"/>
      <c r="L256" s="1" t="s">
        <v>25</v>
      </c>
      <c r="M256" s="1"/>
      <c r="O256" s="7" t="str">
        <f t="shared" si="19"/>
        <v>"",</v>
      </c>
      <c r="P256" s="2"/>
      <c r="Q256" s="2"/>
      <c r="R256" s="2"/>
      <c r="S256" s="2"/>
    </row>
    <row r="257" spans="3:19">
      <c r="C257" s="1" t="s">
        <v>24</v>
      </c>
      <c r="D257" s="5" t="s">
        <v>126</v>
      </c>
      <c r="E257" s="1" t="s">
        <v>25</v>
      </c>
      <c r="F257" s="1"/>
      <c r="H257" s="7" t="str">
        <f t="shared" si="18"/>
        <v>"&gt; 0,12",</v>
      </c>
      <c r="J257" s="1" t="s">
        <v>24</v>
      </c>
      <c r="K257" s="5"/>
      <c r="L257" s="1" t="s">
        <v>25</v>
      </c>
      <c r="M257" s="1"/>
      <c r="O257" s="7" t="str">
        <f t="shared" si="19"/>
        <v>"",</v>
      </c>
      <c r="P257" s="2"/>
      <c r="Q257" s="2"/>
      <c r="R257" s="2"/>
      <c r="S257" s="2"/>
    </row>
    <row r="258" spans="3:19">
      <c r="C258" s="1" t="s">
        <v>24</v>
      </c>
      <c r="D258" s="5"/>
      <c r="E258" s="1" t="s">
        <v>25</v>
      </c>
      <c r="F258" s="1"/>
      <c r="H258" s="7" t="str">
        <f t="shared" si="18"/>
        <v>"",</v>
      </c>
      <c r="J258" s="1" t="s">
        <v>24</v>
      </c>
      <c r="K258" s="5"/>
      <c r="L258" s="1" t="s">
        <v>25</v>
      </c>
      <c r="M258" s="1"/>
      <c r="O258" s="7" t="str">
        <f t="shared" si="19"/>
        <v>"",</v>
      </c>
      <c r="P258" s="2"/>
      <c r="Q258" s="2"/>
      <c r="R258" s="2"/>
      <c r="S258" s="2"/>
    </row>
    <row r="259" spans="3:19">
      <c r="C259" s="1" t="s">
        <v>24</v>
      </c>
      <c r="D259" s="5" t="s">
        <v>127</v>
      </c>
      <c r="E259" s="1" t="s">
        <v>25</v>
      </c>
      <c r="F259" s="1"/>
      <c r="H259" s="7" t="str">
        <f t="shared" si="18"/>
        <v>"Werte in [W/m²K], bezogen auf Hüllfläche, Werte basieren auf Außenmaß",</v>
      </c>
      <c r="J259" s="1" t="s">
        <v>24</v>
      </c>
      <c r="K259" s="5"/>
      <c r="L259" s="1" t="s">
        <v>25</v>
      </c>
      <c r="M259" s="1"/>
      <c r="O259" s="7" t="str">
        <f t="shared" si="19"/>
        <v>"",</v>
      </c>
      <c r="P259" s="2"/>
      <c r="Q259" s="2"/>
      <c r="R259" s="2"/>
      <c r="S259" s="2"/>
    </row>
    <row r="260" spans="3:19">
      <c r="C260" s="1" t="s">
        <v>24</v>
      </c>
      <c r="D260" s="5" t="s">
        <v>128</v>
      </c>
      <c r="E260" s="1" t="s">
        <v>25</v>
      </c>
      <c r="F260" s="1"/>
      <c r="H260" s="7" t="str">
        <f t="shared" si="18"/>
        <v>"keine Durchdringungen der Hüllfläche mit Elementen deutlich höherer Wärmeleitfähigkeit; z.B.: (1) unsanierte Altbauten ohne Stahl- oder Beton-Elemente; (2) Best-Practice-Neubauten mit minimierten Wärmebrücken",</v>
      </c>
      <c r="J260" s="1" t="s">
        <v>24</v>
      </c>
      <c r="K260" s="5"/>
      <c r="L260" s="1" t="s">
        <v>25</v>
      </c>
      <c r="M260" s="1"/>
      <c r="O260" s="7" t="str">
        <f t="shared" si="19"/>
        <v>"",</v>
      </c>
      <c r="P260" s="2"/>
      <c r="Q260" s="2"/>
      <c r="R260" s="2"/>
      <c r="S260" s="2"/>
    </row>
    <row r="261" spans="3:19">
      <c r="C261" s="1" t="s">
        <v>24</v>
      </c>
      <c r="D261" s="5" t="s">
        <v>129</v>
      </c>
      <c r="E261" s="1" t="s">
        <v>25</v>
      </c>
      <c r="F261" s="1"/>
      <c r="H261" s="7" t="str">
        <f t="shared" si="18"/>
        <v>"keine relevanten Durchdringungen der Hüllfläche mit Elementen deutlich höherer Wärmeleitfähigkeit; z.B.: (1) unsanierte Altbauten mit nur wenig Stahl- oder Beton-Elementen; (2) Best-Practice-Modernisierungen mit minimierten Wärmebrücken",</v>
      </c>
      <c r="J261" s="1" t="s">
        <v>24</v>
      </c>
      <c r="K261" s="5"/>
      <c r="L261" s="1" t="s">
        <v>25</v>
      </c>
      <c r="M261" s="1"/>
      <c r="O261" s="7" t="str">
        <f t="shared" si="19"/>
        <v>"",</v>
      </c>
      <c r="P261" s="2"/>
      <c r="Q261" s="2"/>
      <c r="R261" s="2"/>
      <c r="S261" s="2"/>
    </row>
    <row r="262" spans="3:19">
      <c r="C262" s="1" t="s">
        <v>24</v>
      </c>
      <c r="D262" s="5" t="s">
        <v>130</v>
      </c>
      <c r="E262" s="1" t="s">
        <v>25</v>
      </c>
      <c r="F262" s="1"/>
      <c r="H262" s="7" t="str">
        <f t="shared" si="18"/>
        <v>"nur geringfügige Durchdringungen von Dämmschichten ",</v>
      </c>
      <c r="J262" s="1" t="s">
        <v>24</v>
      </c>
      <c r="K262" s="5"/>
      <c r="L262" s="1" t="s">
        <v>25</v>
      </c>
      <c r="M262" s="1"/>
      <c r="O262" s="7" t="str">
        <f t="shared" si="19"/>
        <v>"",</v>
      </c>
      <c r="P262" s="2"/>
      <c r="Q262" s="2"/>
      <c r="R262" s="2"/>
      <c r="S262" s="2"/>
    </row>
    <row r="263" spans="3:19">
      <c r="C263" s="1" t="s">
        <v>24</v>
      </c>
      <c r="D263" s="5" t="s">
        <v>131</v>
      </c>
      <c r="E263" s="1" t="s">
        <v>25</v>
      </c>
      <c r="F263" s="1"/>
      <c r="H263" s="7" t="str">
        <f t="shared" si="18"/>
        <v>"relevante konstruktive Wärmebrücken; z.B. Innendämmung in Gebäuden mit Holzbalkendecken",</v>
      </c>
      <c r="J263" s="1" t="s">
        <v>24</v>
      </c>
      <c r="K263" s="5"/>
      <c r="L263" s="1" t="s">
        <v>25</v>
      </c>
      <c r="M263" s="1"/>
      <c r="O263" s="7" t="str">
        <f t="shared" si="19"/>
        <v>"",</v>
      </c>
      <c r="P263" s="2"/>
      <c r="Q263" s="2"/>
      <c r="R263" s="2"/>
      <c r="S263" s="2"/>
    </row>
    <row r="264" spans="3:19">
      <c r="C264" s="1" t="s">
        <v>24</v>
      </c>
      <c r="D264" s="5" t="s">
        <v>132</v>
      </c>
      <c r="E264" s="1" t="s">
        <v>25</v>
      </c>
      <c r="F264" s="1"/>
      <c r="H264" s="7" t="str">
        <f t="shared" si="18"/>
        <v>"sehr relevante konstruktive Wärmebrücken; z.B. Beton durchdringt Dämmebene ",</v>
      </c>
      <c r="J264" s="1" t="s">
        <v>24</v>
      </c>
      <c r="K264" s="5"/>
      <c r="L264" s="1" t="s">
        <v>25</v>
      </c>
      <c r="M264" s="1"/>
      <c r="O264" s="7" t="str">
        <f t="shared" si="19"/>
        <v>"",</v>
      </c>
      <c r="P264" s="2"/>
      <c r="Q264" s="2"/>
      <c r="R264" s="2"/>
      <c r="S264" s="2"/>
    </row>
    <row r="265" spans="3:19">
      <c r="C265" s="1" t="s">
        <v>24</v>
      </c>
      <c r="D265" s="5" t="s">
        <v>96</v>
      </c>
      <c r="E265" s="1" t="s">
        <v>25</v>
      </c>
      <c r="F265" s="1"/>
      <c r="H265" s="7" t="str">
        <f t="shared" si="18"/>
        <v>"keine Angaben / unbekannt",</v>
      </c>
      <c r="J265" s="1" t="s">
        <v>24</v>
      </c>
      <c r="K265" s="5"/>
      <c r="L265" s="1" t="s">
        <v>25</v>
      </c>
      <c r="M265" s="1"/>
      <c r="O265" s="7" t="str">
        <f t="shared" si="19"/>
        <v>"",</v>
      </c>
      <c r="P265" s="2"/>
      <c r="Q265" s="2"/>
      <c r="R265" s="2"/>
      <c r="S265" s="2"/>
    </row>
    <row r="266" spans="3:19">
      <c r="C266" s="1" t="s">
        <v>24</v>
      </c>
      <c r="D266" s="5" t="s">
        <v>169</v>
      </c>
      <c r="E266" s="1" t="s">
        <v>25</v>
      </c>
      <c r="F266" s="1"/>
      <c r="H266" s="7" t="str">
        <f t="shared" si="18"/>
        <v>"Wirkung der Undichtigkeiten",</v>
      </c>
      <c r="J266" s="1" t="s">
        <v>24</v>
      </c>
      <c r="K266" s="5" t="s">
        <v>56</v>
      </c>
      <c r="L266" s="1" t="s">
        <v>25</v>
      </c>
      <c r="M266" s="1"/>
      <c r="O266" s="7" t="str">
        <f t="shared" si="19"/>
        <v>"_NA_",</v>
      </c>
      <c r="P266" s="2"/>
      <c r="Q266" s="2"/>
      <c r="R266" s="2"/>
      <c r="S266" s="2"/>
    </row>
    <row r="267" spans="3:19">
      <c r="C267" s="1" t="s">
        <v>24</v>
      </c>
      <c r="D267" s="5" t="s">
        <v>115</v>
      </c>
      <c r="E267" s="1" t="s">
        <v>25</v>
      </c>
      <c r="F267" s="1"/>
      <c r="H267" s="7" t="str">
        <f t="shared" si="18"/>
        <v>"minimal",</v>
      </c>
      <c r="J267" s="1" t="s">
        <v>24</v>
      </c>
      <c r="K267" s="5" t="s">
        <v>133</v>
      </c>
      <c r="L267" s="1" t="s">
        <v>25</v>
      </c>
      <c r="M267" s="1"/>
      <c r="O267" s="7" t="str">
        <f t="shared" si="19"/>
        <v>"Minimal",</v>
      </c>
      <c r="P267" s="2"/>
      <c r="Q267" s="2"/>
      <c r="R267" s="2"/>
      <c r="S267" s="2"/>
    </row>
    <row r="268" spans="3:19">
      <c r="C268" s="1" t="s">
        <v>24</v>
      </c>
      <c r="D268" s="5" t="s">
        <v>117</v>
      </c>
      <c r="E268" s="1" t="s">
        <v>25</v>
      </c>
      <c r="F268" s="1"/>
      <c r="H268" s="7" t="str">
        <f t="shared" si="18"/>
        <v>"gering",</v>
      </c>
      <c r="J268" s="1" t="s">
        <v>24</v>
      </c>
      <c r="K268" s="5" t="s">
        <v>134</v>
      </c>
      <c r="L268" s="1" t="s">
        <v>25</v>
      </c>
      <c r="M268" s="1"/>
      <c r="O268" s="7" t="str">
        <f t="shared" si="19"/>
        <v>"Low",</v>
      </c>
      <c r="P268" s="2"/>
      <c r="Q268" s="2"/>
      <c r="R268" s="2"/>
      <c r="S268" s="2"/>
    </row>
    <row r="269" spans="3:19">
      <c r="C269" s="1" t="s">
        <v>24</v>
      </c>
      <c r="D269" s="5" t="s">
        <v>118</v>
      </c>
      <c r="E269" s="1" t="s">
        <v>25</v>
      </c>
      <c r="F269" s="1"/>
      <c r="H269" s="7" t="str">
        <f t="shared" si="18"/>
        <v>"mittel",</v>
      </c>
      <c r="J269" s="1" t="s">
        <v>24</v>
      </c>
      <c r="K269" s="5" t="s">
        <v>135</v>
      </c>
      <c r="L269" s="1" t="s">
        <v>25</v>
      </c>
      <c r="M269" s="1"/>
      <c r="O269" s="7" t="str">
        <f t="shared" si="19"/>
        <v>"Medium",</v>
      </c>
      <c r="P269" s="2"/>
      <c r="Q269" s="2"/>
      <c r="R269" s="2"/>
      <c r="S269" s="2"/>
    </row>
    <row r="270" spans="3:19">
      <c r="C270" s="1" t="s">
        <v>24</v>
      </c>
      <c r="D270" s="5" t="s">
        <v>119</v>
      </c>
      <c r="E270" s="1" t="s">
        <v>25</v>
      </c>
      <c r="F270" s="1"/>
      <c r="H270" s="7" t="str">
        <f t="shared" si="18"/>
        <v>"hoch",</v>
      </c>
      <c r="J270" s="1" t="s">
        <v>24</v>
      </c>
      <c r="K270" s="5" t="s">
        <v>136</v>
      </c>
      <c r="L270" s="1" t="s">
        <v>25</v>
      </c>
      <c r="M270" s="1"/>
      <c r="O270" s="7" t="str">
        <f t="shared" si="19"/>
        <v>"High",</v>
      </c>
      <c r="P270" s="2"/>
      <c r="Q270" s="2"/>
      <c r="R270" s="2"/>
      <c r="S270" s="2"/>
    </row>
    <row r="271" spans="3:19">
      <c r="C271" s="1" t="s">
        <v>24</v>
      </c>
      <c r="D271" s="5" t="s">
        <v>120</v>
      </c>
      <c r="E271" s="1" t="s">
        <v>25</v>
      </c>
      <c r="F271" s="1"/>
      <c r="H271" s="7" t="str">
        <f t="shared" si="18"/>
        <v>"k.A.",</v>
      </c>
      <c r="J271" s="1" t="s">
        <v>24</v>
      </c>
      <c r="K271" s="5" t="s">
        <v>56</v>
      </c>
      <c r="L271" s="1" t="s">
        <v>24</v>
      </c>
      <c r="M271" s="1"/>
      <c r="O271" s="7" t="str">
        <f t="shared" si="19"/>
        <v>"_NA_"</v>
      </c>
      <c r="P271" s="2"/>
      <c r="Q271" s="2"/>
      <c r="R271" s="2"/>
      <c r="S271" s="2"/>
    </row>
    <row r="272" spans="3:19">
      <c r="C272" s="1" t="s">
        <v>24</v>
      </c>
      <c r="D272" s="5" t="s">
        <v>137</v>
      </c>
      <c r="E272" s="1" t="s">
        <v>25</v>
      </c>
      <c r="F272" s="1"/>
      <c r="H272" s="7" t="str">
        <f t="shared" si="18"/>
        <v>"Indication: blower door result n_50",</v>
      </c>
      <c r="J272" s="1" t="s">
        <v>24</v>
      </c>
      <c r="K272" s="5"/>
      <c r="L272" s="1" t="s">
        <v>25</v>
      </c>
      <c r="M272" s="1"/>
      <c r="O272" s="7" t="str">
        <f t="shared" si="19"/>
        <v>"",</v>
      </c>
      <c r="P272" s="2"/>
      <c r="Q272" s="2"/>
      <c r="R272" s="2"/>
      <c r="S272" s="2"/>
    </row>
    <row r="273" spans="3:19">
      <c r="C273" s="1" t="s">
        <v>24</v>
      </c>
      <c r="D273" s="5" t="s">
        <v>138</v>
      </c>
      <c r="E273" s="1" t="s">
        <v>25</v>
      </c>
      <c r="F273" s="1"/>
      <c r="H273" s="7" t="str">
        <f t="shared" si="18"/>
        <v>"≤ 0,6",</v>
      </c>
      <c r="J273" s="1" t="s">
        <v>24</v>
      </c>
      <c r="K273" s="5"/>
      <c r="L273" s="1" t="s">
        <v>25</v>
      </c>
      <c r="M273" s="1"/>
      <c r="O273" s="7" t="str">
        <f t="shared" si="19"/>
        <v>"",</v>
      </c>
      <c r="P273" s="2"/>
      <c r="Q273" s="2"/>
      <c r="R273" s="2"/>
      <c r="S273" s="2"/>
    </row>
    <row r="274" spans="3:19">
      <c r="C274" s="1" t="s">
        <v>24</v>
      </c>
      <c r="D274" s="5" t="s">
        <v>139</v>
      </c>
      <c r="E274" s="1" t="s">
        <v>25</v>
      </c>
      <c r="F274" s="1"/>
      <c r="H274" s="7" t="str">
        <f t="shared" si="18"/>
        <v>"&gt; 0,6 &amp;  ≤ 1,0",</v>
      </c>
      <c r="J274" s="1" t="s">
        <v>24</v>
      </c>
      <c r="K274" s="5"/>
      <c r="L274" s="1" t="s">
        <v>25</v>
      </c>
      <c r="M274" s="1"/>
      <c r="O274" s="7" t="str">
        <f t="shared" si="19"/>
        <v>"",</v>
      </c>
      <c r="P274" s="2"/>
      <c r="Q274" s="2"/>
      <c r="R274" s="2"/>
      <c r="S274" s="2"/>
    </row>
    <row r="275" spans="3:19">
      <c r="C275" s="1" t="s">
        <v>24</v>
      </c>
      <c r="D275" s="5" t="s">
        <v>140</v>
      </c>
      <c r="E275" s="1" t="s">
        <v>25</v>
      </c>
      <c r="F275" s="1"/>
      <c r="H275" s="7" t="str">
        <f t="shared" si="18"/>
        <v>"&gt; 1,0 &amp;  ≤ 3,0",</v>
      </c>
      <c r="J275" s="1" t="s">
        <v>24</v>
      </c>
      <c r="K275" s="5"/>
      <c r="L275" s="1" t="s">
        <v>25</v>
      </c>
      <c r="M275" s="1"/>
      <c r="O275" s="7" t="str">
        <f t="shared" si="19"/>
        <v>"",</v>
      </c>
      <c r="P275" s="2"/>
      <c r="Q275" s="2"/>
      <c r="R275" s="2"/>
      <c r="S275" s="2"/>
    </row>
    <row r="276" spans="3:19">
      <c r="C276" s="1" t="s">
        <v>24</v>
      </c>
      <c r="D276" s="5" t="s">
        <v>141</v>
      </c>
      <c r="E276" s="1" t="s">
        <v>25</v>
      </c>
      <c r="F276" s="1"/>
      <c r="H276" s="7" t="str">
        <f t="shared" si="18"/>
        <v>"&gt; 3,0",</v>
      </c>
      <c r="J276" s="1" t="s">
        <v>24</v>
      </c>
      <c r="K276" s="5"/>
      <c r="L276" s="1" t="s">
        <v>25</v>
      </c>
      <c r="M276" s="1"/>
      <c r="O276" s="7" t="str">
        <f t="shared" si="19"/>
        <v>"",</v>
      </c>
      <c r="P276" s="2"/>
      <c r="Q276" s="2"/>
      <c r="R276" s="2"/>
      <c r="S276" s="2"/>
    </row>
    <row r="277" spans="3:19">
      <c r="C277" s="1" t="s">
        <v>24</v>
      </c>
      <c r="D277" s="5"/>
      <c r="E277" s="1" t="s">
        <v>25</v>
      </c>
      <c r="F277" s="1"/>
      <c r="H277" s="7" t="str">
        <f t="shared" si="18"/>
        <v>"",</v>
      </c>
      <c r="J277" s="1" t="s">
        <v>24</v>
      </c>
      <c r="K277" s="5"/>
      <c r="L277" s="1" t="s">
        <v>25</v>
      </c>
      <c r="M277" s="1"/>
      <c r="O277" s="7" t="str">
        <f t="shared" si="19"/>
        <v>"",</v>
      </c>
      <c r="P277" s="2"/>
      <c r="Q277" s="2"/>
      <c r="R277" s="2"/>
      <c r="S277" s="2"/>
    </row>
    <row r="278" spans="3:19">
      <c r="C278" s="1" t="s">
        <v>24</v>
      </c>
      <c r="D278" s="5" t="s">
        <v>142</v>
      </c>
      <c r="E278" s="1" t="s">
        <v>25</v>
      </c>
      <c r="F278" s="1"/>
      <c r="H278" s="7" t="str">
        <f t="shared" si="18"/>
        <v>"sehr luftdicht; z.B. Massivbauten mit massiven Decken und sehr dichten Fenstern / Holzbauten mit Dichtheitskonzept und messtechnischer Überprüfung (Blower-Door-Messung)",</v>
      </c>
      <c r="J278" s="1" t="s">
        <v>24</v>
      </c>
      <c r="K278" s="5"/>
      <c r="L278" s="1" t="s">
        <v>25</v>
      </c>
      <c r="M278" s="1"/>
      <c r="O278" s="7" t="str">
        <f t="shared" si="19"/>
        <v>"",</v>
      </c>
      <c r="P278" s="2"/>
      <c r="Q278" s="2"/>
      <c r="R278" s="2"/>
      <c r="S278" s="2"/>
    </row>
    <row r="279" spans="3:19">
      <c r="C279" s="1" t="s">
        <v>24</v>
      </c>
      <c r="D279" s="5" t="s">
        <v>143</v>
      </c>
      <c r="E279" s="1" t="s">
        <v>25</v>
      </c>
      <c r="F279" s="1"/>
      <c r="H279" s="7" t="str">
        <f t="shared" si="18"/>
        <v>"luftdicht; z.B. Massivbauten mit massiven Decken und dichten Fenstern / Holzbauten mit Dichtheitskonzept und messtechnischer Überprüfung (Blower-Door-Messung)",</v>
      </c>
      <c r="J279" s="1" t="s">
        <v>24</v>
      </c>
      <c r="K279" s="5"/>
      <c r="L279" s="1" t="s">
        <v>25</v>
      </c>
      <c r="M279" s="1"/>
      <c r="O279" s="7" t="str">
        <f t="shared" si="19"/>
        <v>"",</v>
      </c>
      <c r="P279" s="2"/>
      <c r="Q279" s="2"/>
      <c r="R279" s="2"/>
      <c r="S279" s="2"/>
    </row>
    <row r="280" spans="3:19">
      <c r="C280" s="1" t="s">
        <v>24</v>
      </c>
      <c r="D280" s="5" t="s">
        <v>144</v>
      </c>
      <c r="E280" s="1" t="s">
        <v>25</v>
      </c>
      <c r="F280" s="1"/>
      <c r="H280" s="7" t="str">
        <f t="shared" si="18"/>
        <v>"Massivbauten ohne besondere Maßnahmen bzw. Bestand",</v>
      </c>
      <c r="J280" s="1" t="s">
        <v>24</v>
      </c>
      <c r="K280" s="5"/>
      <c r="L280" s="1" t="s">
        <v>25</v>
      </c>
      <c r="M280" s="1"/>
      <c r="O280" s="7" t="str">
        <f t="shared" si="19"/>
        <v>"",</v>
      </c>
      <c r="P280" s="2"/>
      <c r="Q280" s="2"/>
      <c r="R280" s="2"/>
      <c r="S280" s="2"/>
    </row>
    <row r="281" spans="3:19">
      <c r="C281" s="1" t="s">
        <v>24</v>
      </c>
      <c r="D281" s="5" t="s">
        <v>145</v>
      </c>
      <c r="E281" s="1" t="s">
        <v>25</v>
      </c>
      <c r="F281" s="1"/>
      <c r="H281" s="7" t="str">
        <f t="shared" si="18"/>
        <v>"offensichtliche Undichtigkeiten (z.B. bei Fenstern ohne funktionstüchtige Lippendichtungen, bei beheizten Dachgeschossen mit Dachflächen ohne luftdichte Ebene)",</v>
      </c>
      <c r="J281" s="1" t="s">
        <v>24</v>
      </c>
      <c r="K281" s="5"/>
      <c r="L281" s="1" t="s">
        <v>25</v>
      </c>
      <c r="M281" s="1"/>
      <c r="O281" s="7" t="str">
        <f t="shared" si="19"/>
        <v>"",</v>
      </c>
      <c r="P281" s="2"/>
      <c r="Q281" s="2"/>
      <c r="R281" s="2"/>
      <c r="S281" s="2"/>
    </row>
    <row r="282" spans="3:19">
      <c r="C282" s="1" t="s">
        <v>24</v>
      </c>
      <c r="D282" s="5" t="s">
        <v>96</v>
      </c>
      <c r="E282" s="1" t="s">
        <v>25</v>
      </c>
      <c r="F282" s="1"/>
      <c r="H282" s="7" t="str">
        <f t="shared" si="18"/>
        <v>"keine Angaben / unbekannt",</v>
      </c>
      <c r="J282" s="1" t="s">
        <v>24</v>
      </c>
      <c r="K282" s="5"/>
      <c r="L282" s="1" t="s">
        <v>25</v>
      </c>
      <c r="M282" s="1"/>
      <c r="O282" s="7" t="str">
        <f t="shared" si="19"/>
        <v>"",</v>
      </c>
      <c r="P282" s="2"/>
      <c r="Q282" s="2"/>
      <c r="R282" s="2"/>
      <c r="S282" s="2"/>
    </row>
    <row r="283" spans="3:19">
      <c r="C283" s="1" t="s">
        <v>24</v>
      </c>
      <c r="D283" s="5"/>
      <c r="E283" s="1" t="s">
        <v>25</v>
      </c>
      <c r="F283" s="1"/>
      <c r="H283" s="7" t="str">
        <f t="shared" si="18"/>
        <v>"",</v>
      </c>
      <c r="J283" s="1" t="s">
        <v>24</v>
      </c>
      <c r="K283" s="5"/>
      <c r="L283" s="1" t="s">
        <v>25</v>
      </c>
      <c r="M283" s="1"/>
      <c r="O283" s="7" t="str">
        <f t="shared" si="19"/>
        <v>"",</v>
      </c>
      <c r="P283" s="2"/>
      <c r="Q283" s="2"/>
      <c r="R283" s="2"/>
      <c r="S283" s="2"/>
    </row>
    <row r="284" spans="3:19">
      <c r="C284" s="1" t="s">
        <v>24</v>
      </c>
      <c r="D284" s="5"/>
      <c r="E284" s="1" t="s">
        <v>25</v>
      </c>
      <c r="F284" s="1"/>
      <c r="H284" s="7" t="str">
        <f t="shared" si="18"/>
        <v>"",</v>
      </c>
      <c r="J284" s="1" t="s">
        <v>24</v>
      </c>
      <c r="K284" s="5"/>
      <c r="L284" s="1" t="s">
        <v>25</v>
      </c>
      <c r="M284" s="1"/>
      <c r="O284" s="7" t="str">
        <f t="shared" si="19"/>
        <v>"",</v>
      </c>
      <c r="P284" s="2"/>
      <c r="Q284" s="2"/>
      <c r="R284" s="2"/>
      <c r="S284" s="2"/>
    </row>
    <row r="288" spans="3:19">
      <c r="C288" s="1" t="s">
        <v>24</v>
      </c>
      <c r="D288" s="5"/>
      <c r="E288" s="1" t="s">
        <v>25</v>
      </c>
      <c r="F288" s="1"/>
      <c r="H288" s="7" t="str">
        <f t="shared" si="9"/>
        <v>"",</v>
      </c>
      <c r="I288" s="2"/>
      <c r="J288" s="2"/>
      <c r="K288" s="2"/>
      <c r="L288" s="2"/>
      <c r="M288" s="2"/>
      <c r="N288" s="2"/>
      <c r="O288" s="7"/>
      <c r="P288" s="2"/>
      <c r="Q288" s="2"/>
      <c r="R288" s="2"/>
      <c r="S288" s="2"/>
    </row>
    <row r="289" spans="3:19">
      <c r="C289" s="1" t="s">
        <v>24</v>
      </c>
      <c r="D289" s="5"/>
      <c r="E289" s="1" t="s">
        <v>25</v>
      </c>
      <c r="F289" s="1"/>
      <c r="H289" s="7" t="str">
        <f t="shared" si="9"/>
        <v>"",</v>
      </c>
      <c r="I289" s="2"/>
      <c r="J289" s="2"/>
      <c r="K289" s="2"/>
      <c r="L289" s="2"/>
      <c r="M289" s="2"/>
      <c r="N289" s="2"/>
      <c r="O289" s="7"/>
      <c r="P289" s="2"/>
      <c r="Q289" s="2"/>
      <c r="R289" s="2"/>
      <c r="S289" s="2"/>
    </row>
    <row r="290" spans="3:19">
      <c r="C290" s="1" t="s">
        <v>24</v>
      </c>
      <c r="D290" s="5"/>
      <c r="E290" s="1" t="s">
        <v>25</v>
      </c>
      <c r="F290" s="1"/>
      <c r="H290" s="7" t="str">
        <f t="shared" si="9"/>
        <v>"",</v>
      </c>
      <c r="I290" s="2"/>
      <c r="J290" s="2"/>
      <c r="K290" s="2"/>
      <c r="L290" s="2"/>
      <c r="M290" s="2"/>
      <c r="N290" s="2"/>
      <c r="O290" s="7"/>
      <c r="P290" s="2"/>
      <c r="Q290" s="2"/>
      <c r="R290" s="2"/>
      <c r="S290" s="2"/>
    </row>
    <row r="291" spans="3:19">
      <c r="C291" s="1" t="s">
        <v>24</v>
      </c>
      <c r="D291" s="5"/>
      <c r="E291" s="1" t="s">
        <v>25</v>
      </c>
      <c r="F291" s="1"/>
      <c r="H291" s="7" t="str">
        <f t="shared" si="9"/>
        <v>"",</v>
      </c>
      <c r="I291" s="2"/>
      <c r="J291" s="2"/>
      <c r="K291" s="2"/>
      <c r="L291" s="2"/>
      <c r="M291" s="2"/>
      <c r="N291" s="2"/>
      <c r="O291" s="7"/>
      <c r="P291" s="2"/>
      <c r="Q291" s="2"/>
      <c r="R291" s="2"/>
      <c r="S291" s="2"/>
    </row>
    <row r="292" spans="3:19">
      <c r="C292" s="1" t="s">
        <v>24</v>
      </c>
      <c r="D292" s="5"/>
      <c r="E292" s="1" t="s">
        <v>25</v>
      </c>
      <c r="F292" s="1"/>
      <c r="H292" s="7" t="str">
        <f t="shared" si="9"/>
        <v>"",</v>
      </c>
      <c r="I292" s="2"/>
      <c r="J292" s="2"/>
      <c r="K292" s="2"/>
      <c r="L292" s="2"/>
      <c r="M292" s="2"/>
      <c r="N292" s="2"/>
      <c r="O292" s="7"/>
      <c r="P292" s="2"/>
      <c r="Q292" s="2"/>
      <c r="R292" s="2"/>
      <c r="S292" s="2"/>
    </row>
    <row r="293" spans="3:19">
      <c r="C293" s="1" t="s">
        <v>24</v>
      </c>
      <c r="D293" s="5"/>
      <c r="E293" s="1" t="s">
        <v>25</v>
      </c>
      <c r="F293" s="1"/>
      <c r="H293" s="7" t="str">
        <f t="shared" si="9"/>
        <v>"",</v>
      </c>
      <c r="I293" s="2"/>
      <c r="J293" s="2"/>
      <c r="K293" s="2"/>
      <c r="L293" s="2"/>
      <c r="M293" s="2"/>
      <c r="N293" s="2"/>
      <c r="O293" s="7"/>
      <c r="P293" s="2"/>
      <c r="Q293" s="2"/>
      <c r="R293" s="2"/>
      <c r="S293" s="2"/>
    </row>
    <row r="294" spans="3:19">
      <c r="C294" s="1" t="s">
        <v>24</v>
      </c>
      <c r="D294" s="5"/>
      <c r="E294" s="1" t="s">
        <v>25</v>
      </c>
      <c r="F294" s="1"/>
      <c r="H294" s="7" t="str">
        <f t="shared" si="9"/>
        <v>"",</v>
      </c>
      <c r="I294" s="2"/>
      <c r="J294" s="2"/>
      <c r="K294" s="2"/>
      <c r="L294" s="2"/>
      <c r="M294" s="2"/>
      <c r="N294" s="2"/>
      <c r="O294" s="7"/>
      <c r="P294" s="2"/>
      <c r="Q294" s="2"/>
      <c r="R294" s="2"/>
      <c r="S294" s="2"/>
    </row>
    <row r="295" spans="3:19">
      <c r="C295" s="1" t="s">
        <v>24</v>
      </c>
      <c r="D295" s="5"/>
      <c r="E295" s="1" t="s">
        <v>25</v>
      </c>
      <c r="F295" s="1"/>
      <c r="H295" s="7" t="str">
        <f t="shared" si="9"/>
        <v>"",</v>
      </c>
      <c r="I295" s="2"/>
      <c r="J295" s="2"/>
      <c r="K295" s="2"/>
      <c r="L295" s="2"/>
      <c r="M295" s="2"/>
      <c r="N295" s="2"/>
      <c r="O295" s="7"/>
      <c r="P295" s="2"/>
      <c r="Q295" s="2"/>
      <c r="R295" s="2"/>
      <c r="S295" s="2"/>
    </row>
    <row r="296" spans="3:19">
      <c r="C296" s="1" t="s">
        <v>24</v>
      </c>
      <c r="D296" s="5"/>
      <c r="E296" s="1" t="s">
        <v>25</v>
      </c>
      <c r="F296" s="1"/>
      <c r="H296" s="7" t="str">
        <f t="shared" si="9"/>
        <v>"",</v>
      </c>
      <c r="I296" s="2"/>
      <c r="J296" s="2"/>
      <c r="K296" s="2"/>
      <c r="L296" s="2"/>
      <c r="M296" s="2"/>
      <c r="N296" s="2"/>
      <c r="O296" s="7"/>
      <c r="P296" s="2"/>
      <c r="Q296" s="2"/>
      <c r="R296" s="2"/>
      <c r="S296" s="2"/>
    </row>
    <row r="297" spans="3:19">
      <c r="C297" s="1" t="s">
        <v>24</v>
      </c>
      <c r="D297" s="5"/>
      <c r="E297" s="1" t="s">
        <v>25</v>
      </c>
      <c r="F297" s="1"/>
      <c r="H297" s="7" t="str">
        <f t="shared" si="9"/>
        <v>"",</v>
      </c>
      <c r="I297" s="2"/>
      <c r="J297" s="2"/>
      <c r="K297" s="2"/>
      <c r="L297" s="2"/>
      <c r="M297" s="2"/>
      <c r="N297" s="2"/>
      <c r="O297" s="7"/>
      <c r="P297" s="2"/>
      <c r="Q297" s="2"/>
      <c r="R297" s="2"/>
      <c r="S297" s="2"/>
    </row>
    <row r="298" spans="3:19">
      <c r="C298" s="1" t="s">
        <v>24</v>
      </c>
      <c r="D298" s="5"/>
      <c r="E298" s="1" t="s">
        <v>25</v>
      </c>
      <c r="F298" s="1"/>
      <c r="H298" s="7" t="str">
        <f t="shared" si="9"/>
        <v>"",</v>
      </c>
      <c r="I298" s="2"/>
      <c r="J298" s="2"/>
      <c r="K298" s="2"/>
      <c r="L298" s="2"/>
      <c r="M298" s="2"/>
      <c r="N298" s="2"/>
      <c r="O298" s="7"/>
      <c r="P298" s="2"/>
      <c r="Q298" s="2"/>
      <c r="R298" s="2"/>
      <c r="S298" s="2"/>
    </row>
    <row r="299" spans="3:19">
      <c r="C299" s="1" t="s">
        <v>24</v>
      </c>
      <c r="D299" s="5"/>
      <c r="E299" s="1" t="s">
        <v>25</v>
      </c>
      <c r="F299" s="1"/>
      <c r="H299" s="7" t="str">
        <f t="shared" si="9"/>
        <v>"",</v>
      </c>
      <c r="I299" s="2"/>
      <c r="J299" s="2"/>
      <c r="K299" s="2"/>
      <c r="L299" s="2"/>
      <c r="M299" s="2"/>
      <c r="N299" s="2"/>
      <c r="O299" s="7"/>
      <c r="P299" s="2"/>
      <c r="Q299" s="2"/>
      <c r="R299" s="2"/>
      <c r="S299" s="2"/>
    </row>
    <row r="300" spans="3:19">
      <c r="C300" s="1" t="s">
        <v>24</v>
      </c>
      <c r="D300" s="5"/>
      <c r="E300" s="1" t="s">
        <v>25</v>
      </c>
      <c r="F300" s="1"/>
      <c r="H300" s="7" t="str">
        <f t="shared" si="9"/>
        <v>"",</v>
      </c>
      <c r="I300" s="2"/>
      <c r="J300" s="2"/>
      <c r="K300" s="2"/>
      <c r="L300" s="2"/>
      <c r="M300" s="2"/>
      <c r="N300" s="2"/>
      <c r="O300" s="7"/>
      <c r="P300" s="2"/>
      <c r="Q300" s="2"/>
      <c r="R300" s="2"/>
      <c r="S300" s="2"/>
    </row>
    <row r="301" spans="3:19">
      <c r="C301" s="1" t="s">
        <v>24</v>
      </c>
      <c r="D301" s="5"/>
      <c r="E301" s="1" t="s">
        <v>25</v>
      </c>
      <c r="F301" s="1"/>
      <c r="H301" s="7" t="str">
        <f t="shared" si="9"/>
        <v>"",</v>
      </c>
      <c r="I301" s="2"/>
      <c r="J301" s="2"/>
      <c r="K301" s="2"/>
      <c r="L301" s="2"/>
      <c r="M301" s="2"/>
      <c r="N301" s="2"/>
      <c r="O301" s="7"/>
      <c r="P301" s="2"/>
      <c r="Q301" s="2"/>
      <c r="R301" s="2"/>
      <c r="S301" s="2"/>
    </row>
    <row r="302" spans="3:19">
      <c r="C302" s="1" t="s">
        <v>24</v>
      </c>
      <c r="D302" s="5"/>
      <c r="E302" s="1" t="s">
        <v>25</v>
      </c>
      <c r="F302" s="1"/>
      <c r="H302" s="7" t="str">
        <f t="shared" si="9"/>
        <v>"",</v>
      </c>
      <c r="I302" s="2"/>
      <c r="J302" s="2"/>
      <c r="K302" s="2"/>
      <c r="L302" s="2"/>
      <c r="M302" s="2"/>
      <c r="N302" s="2"/>
      <c r="O302" s="7"/>
      <c r="P302" s="2"/>
      <c r="Q302" s="2"/>
      <c r="R302" s="2"/>
      <c r="S302" s="2"/>
    </row>
    <row r="303" spans="3:19">
      <c r="C303" s="1" t="s">
        <v>24</v>
      </c>
      <c r="D303" s="5"/>
      <c r="E303" s="1" t="s">
        <v>25</v>
      </c>
      <c r="F303" s="1"/>
      <c r="H303" s="7" t="str">
        <f t="shared" si="9"/>
        <v>"",</v>
      </c>
      <c r="I303" s="2"/>
      <c r="J303" s="2"/>
      <c r="K303" s="2"/>
      <c r="L303" s="2"/>
      <c r="M303" s="2"/>
      <c r="N303" s="2"/>
      <c r="O303" s="7"/>
      <c r="P303" s="2"/>
      <c r="Q303" s="2"/>
      <c r="R303" s="2"/>
      <c r="S303" s="2"/>
    </row>
    <row r="304" spans="3:19">
      <c r="C304" s="1" t="s">
        <v>24</v>
      </c>
      <c r="D304" s="5"/>
      <c r="E304" s="1" t="s">
        <v>25</v>
      </c>
      <c r="F304" s="1"/>
      <c r="H304" s="7" t="str">
        <f t="shared" si="9"/>
        <v>"",</v>
      </c>
      <c r="I304" s="2"/>
      <c r="J304" s="2"/>
      <c r="K304" s="2"/>
      <c r="L304" s="2"/>
      <c r="M304" s="2"/>
      <c r="N304" s="2"/>
      <c r="O304" s="7"/>
      <c r="P304" s="2"/>
      <c r="Q304" s="2"/>
      <c r="R304" s="2"/>
      <c r="S304" s="2"/>
    </row>
    <row r="305" spans="3:19">
      <c r="C305" s="1" t="s">
        <v>24</v>
      </c>
      <c r="D305" s="5"/>
      <c r="E305" s="1" t="s">
        <v>25</v>
      </c>
      <c r="F305" s="1"/>
      <c r="H305" s="7" t="str">
        <f t="shared" si="9"/>
        <v>"",</v>
      </c>
      <c r="I305" s="2"/>
      <c r="J305" s="2"/>
      <c r="K305" s="2"/>
      <c r="L305" s="2"/>
      <c r="M305" s="2"/>
      <c r="N305" s="2"/>
      <c r="O305" s="7"/>
      <c r="P305" s="2"/>
      <c r="Q305" s="2"/>
      <c r="R305" s="2"/>
      <c r="S305" s="2"/>
    </row>
    <row r="306" spans="3:19">
      <c r="C306" s="1" t="s">
        <v>24</v>
      </c>
      <c r="D306" s="5"/>
      <c r="E306" s="1" t="s">
        <v>25</v>
      </c>
      <c r="F306" s="1"/>
      <c r="H306" s="7" t="str">
        <f t="shared" si="9"/>
        <v>"",</v>
      </c>
      <c r="I306" s="2"/>
      <c r="J306" s="2"/>
      <c r="K306" s="2"/>
      <c r="L306" s="2"/>
      <c r="M306" s="2"/>
      <c r="N306" s="2"/>
      <c r="O306" s="7"/>
      <c r="P306" s="2"/>
      <c r="Q306" s="2"/>
      <c r="R306" s="2"/>
      <c r="S306" s="2"/>
    </row>
    <row r="307" spans="3:19">
      <c r="C307" s="1" t="s">
        <v>24</v>
      </c>
      <c r="D307" s="5"/>
      <c r="E307" s="1" t="s">
        <v>25</v>
      </c>
      <c r="F307" s="1"/>
      <c r="H307" s="7" t="str">
        <f t="shared" si="9"/>
        <v>"",</v>
      </c>
      <c r="I307" s="2"/>
      <c r="J307" s="2"/>
      <c r="K307" s="2"/>
      <c r="L307" s="2"/>
      <c r="M307" s="2"/>
      <c r="N307" s="2"/>
      <c r="O307" s="7"/>
      <c r="P307" s="2"/>
      <c r="Q307" s="2"/>
      <c r="R307" s="2"/>
      <c r="S307" s="2"/>
    </row>
    <row r="308" spans="3:19">
      <c r="C308" s="1" t="s">
        <v>24</v>
      </c>
      <c r="D308" s="5"/>
      <c r="E308" s="1" t="s">
        <v>25</v>
      </c>
      <c r="F308" s="1"/>
      <c r="H308" s="7" t="str">
        <f t="shared" si="9"/>
        <v>"",</v>
      </c>
      <c r="I308" s="2"/>
      <c r="J308" s="2"/>
      <c r="K308" s="2"/>
      <c r="L308" s="2"/>
      <c r="M308" s="2"/>
      <c r="N308" s="2"/>
      <c r="O308" s="7"/>
      <c r="P308" s="2"/>
      <c r="Q308" s="2"/>
      <c r="R308" s="2"/>
      <c r="S308" s="2"/>
    </row>
    <row r="309" spans="3:19">
      <c r="C309" s="1" t="s">
        <v>24</v>
      </c>
      <c r="D309" s="5"/>
      <c r="E309" s="1" t="s">
        <v>25</v>
      </c>
      <c r="F309" s="1"/>
      <c r="H309" s="7" t="str">
        <f t="shared" si="9"/>
        <v>"",</v>
      </c>
      <c r="I309" s="2"/>
      <c r="J309" s="2"/>
      <c r="K309" s="2"/>
      <c r="L309" s="2"/>
      <c r="M309" s="2"/>
      <c r="N309" s="2"/>
      <c r="O309" s="7"/>
      <c r="P309" s="2"/>
      <c r="Q309" s="2"/>
      <c r="R309" s="2"/>
      <c r="S309" s="2"/>
    </row>
    <row r="310" spans="3:19">
      <c r="C310" s="1" t="s">
        <v>24</v>
      </c>
      <c r="D310" s="5"/>
      <c r="E310" s="1" t="s">
        <v>25</v>
      </c>
      <c r="F310" s="1"/>
      <c r="H310" s="7" t="str">
        <f t="shared" ref="H310:H322" si="20">_xlfn.CONCAT(C310:F310)</f>
        <v>"",</v>
      </c>
      <c r="I310" s="2"/>
      <c r="J310" s="2"/>
      <c r="K310" s="2"/>
      <c r="L310" s="2"/>
      <c r="M310" s="2"/>
      <c r="N310" s="2"/>
      <c r="O310" s="7"/>
      <c r="P310" s="2"/>
      <c r="Q310" s="2"/>
      <c r="R310" s="2"/>
      <c r="S310" s="2"/>
    </row>
    <row r="311" spans="3:19">
      <c r="C311" s="1" t="s">
        <v>24</v>
      </c>
      <c r="D311" s="5"/>
      <c r="E311" s="1" t="s">
        <v>25</v>
      </c>
      <c r="F311" s="1"/>
      <c r="H311" s="7" t="str">
        <f t="shared" si="20"/>
        <v>"",</v>
      </c>
      <c r="I311" s="2"/>
      <c r="J311" s="2"/>
      <c r="K311" s="2"/>
      <c r="L311" s="2"/>
      <c r="M311" s="2"/>
      <c r="N311" s="2"/>
      <c r="O311" s="7"/>
      <c r="P311" s="2"/>
      <c r="Q311" s="2"/>
      <c r="R311" s="2"/>
      <c r="S311" s="2"/>
    </row>
    <row r="312" spans="3:19">
      <c r="C312" s="1" t="s">
        <v>24</v>
      </c>
      <c r="D312" s="5"/>
      <c r="E312" s="1" t="s">
        <v>25</v>
      </c>
      <c r="F312" s="1"/>
      <c r="H312" s="7" t="str">
        <f t="shared" si="20"/>
        <v>"",</v>
      </c>
      <c r="I312" s="2"/>
      <c r="J312" s="2"/>
      <c r="K312" s="2"/>
      <c r="L312" s="2"/>
      <c r="M312" s="2"/>
      <c r="N312" s="2"/>
      <c r="O312" s="7"/>
      <c r="P312" s="2"/>
      <c r="Q312" s="2"/>
      <c r="R312" s="2"/>
      <c r="S312" s="2"/>
    </row>
    <row r="313" spans="3:19">
      <c r="C313" s="1" t="s">
        <v>24</v>
      </c>
      <c r="D313" s="5"/>
      <c r="E313" s="1" t="s">
        <v>25</v>
      </c>
      <c r="F313" s="1"/>
      <c r="H313" s="7" t="str">
        <f t="shared" si="20"/>
        <v>"",</v>
      </c>
      <c r="I313" s="2"/>
      <c r="J313" s="2"/>
      <c r="K313" s="2"/>
      <c r="L313" s="2"/>
      <c r="M313" s="2"/>
      <c r="N313" s="2"/>
      <c r="O313" s="7"/>
      <c r="P313" s="2"/>
      <c r="Q313" s="2"/>
      <c r="R313" s="2"/>
      <c r="S313" s="2"/>
    </row>
    <row r="314" spans="3:19">
      <c r="C314" s="1" t="s">
        <v>24</v>
      </c>
      <c r="D314" s="5"/>
      <c r="E314" s="1" t="s">
        <v>25</v>
      </c>
      <c r="F314" s="1"/>
      <c r="H314" s="7" t="str">
        <f t="shared" si="20"/>
        <v>"",</v>
      </c>
      <c r="I314" s="2"/>
      <c r="J314" s="2"/>
      <c r="K314" s="2"/>
      <c r="L314" s="2"/>
      <c r="M314" s="2"/>
      <c r="N314" s="2"/>
      <c r="O314" s="7"/>
      <c r="P314" s="2"/>
      <c r="Q314" s="2"/>
      <c r="R314" s="2"/>
      <c r="S314" s="2"/>
    </row>
    <row r="315" spans="3:19">
      <c r="C315" s="1" t="s">
        <v>24</v>
      </c>
      <c r="D315" s="5"/>
      <c r="E315" s="1" t="s">
        <v>25</v>
      </c>
      <c r="F315" s="1"/>
      <c r="H315" s="7" t="str">
        <f t="shared" si="20"/>
        <v>"",</v>
      </c>
      <c r="I315" s="2"/>
      <c r="J315" s="2"/>
      <c r="K315" s="2"/>
      <c r="L315" s="2"/>
      <c r="M315" s="2"/>
      <c r="N315" s="2"/>
      <c r="O315" s="7"/>
      <c r="P315" s="2"/>
      <c r="Q315" s="2"/>
      <c r="R315" s="2"/>
      <c r="S315" s="2"/>
    </row>
    <row r="316" spans="3:19">
      <c r="C316" s="1" t="s">
        <v>24</v>
      </c>
      <c r="D316" s="5"/>
      <c r="E316" s="1" t="s">
        <v>25</v>
      </c>
      <c r="F316" s="1"/>
      <c r="H316" s="7" t="str">
        <f t="shared" si="20"/>
        <v>"",</v>
      </c>
      <c r="I316" s="2"/>
      <c r="J316" s="2"/>
      <c r="K316" s="2"/>
      <c r="L316" s="2"/>
      <c r="M316" s="2"/>
      <c r="N316" s="2"/>
      <c r="O316" s="7"/>
      <c r="P316" s="2"/>
      <c r="Q316" s="2"/>
      <c r="R316" s="2"/>
      <c r="S316" s="2"/>
    </row>
    <row r="317" spans="3:19">
      <c r="C317" s="1" t="s">
        <v>24</v>
      </c>
      <c r="D317" s="5"/>
      <c r="E317" s="1" t="s">
        <v>25</v>
      </c>
      <c r="F317" s="1"/>
      <c r="H317" s="7" t="str">
        <f t="shared" si="20"/>
        <v>"",</v>
      </c>
      <c r="I317" s="2"/>
      <c r="J317" s="2"/>
      <c r="K317" s="2"/>
      <c r="L317" s="2"/>
      <c r="M317" s="2"/>
      <c r="N317" s="2"/>
      <c r="O317" s="7"/>
      <c r="P317" s="2"/>
      <c r="Q317" s="2"/>
      <c r="R317" s="2"/>
      <c r="S317" s="2"/>
    </row>
    <row r="318" spans="3:19">
      <c r="C318" s="1" t="s">
        <v>24</v>
      </c>
      <c r="D318" s="5"/>
      <c r="E318" s="1" t="s">
        <v>25</v>
      </c>
      <c r="F318" s="1"/>
      <c r="H318" s="7" t="str">
        <f t="shared" si="20"/>
        <v>"",</v>
      </c>
      <c r="I318" s="2"/>
      <c r="J318" s="2"/>
      <c r="K318" s="2"/>
      <c r="L318" s="2"/>
      <c r="M318" s="2"/>
      <c r="N318" s="2"/>
      <c r="O318" s="7"/>
      <c r="P318" s="2"/>
      <c r="Q318" s="2"/>
      <c r="R318" s="2"/>
      <c r="S318" s="2"/>
    </row>
    <row r="319" spans="3:19">
      <c r="C319" s="1" t="s">
        <v>24</v>
      </c>
      <c r="D319" s="5"/>
      <c r="E319" s="1" t="s">
        <v>25</v>
      </c>
      <c r="F319" s="1"/>
      <c r="H319" s="7" t="str">
        <f t="shared" si="20"/>
        <v>"",</v>
      </c>
      <c r="I319" s="2"/>
      <c r="J319" s="2"/>
      <c r="K319" s="2"/>
      <c r="L319" s="2"/>
      <c r="M319" s="2"/>
      <c r="N319" s="2"/>
      <c r="O319" s="7"/>
      <c r="P319" s="2"/>
      <c r="Q319" s="2"/>
      <c r="R319" s="2"/>
      <c r="S319" s="2"/>
    </row>
    <row r="320" spans="3:19">
      <c r="C320" s="1" t="s">
        <v>24</v>
      </c>
      <c r="D320" s="5"/>
      <c r="E320" s="1" t="s">
        <v>25</v>
      </c>
      <c r="F320" s="1"/>
      <c r="H320" s="7" t="str">
        <f t="shared" si="20"/>
        <v>"",</v>
      </c>
      <c r="I320" s="2"/>
      <c r="J320" s="2"/>
      <c r="K320" s="2"/>
      <c r="L320" s="2"/>
      <c r="M320" s="2"/>
      <c r="N320" s="2"/>
      <c r="O320" s="7"/>
      <c r="P320" s="2"/>
      <c r="Q320" s="2"/>
      <c r="R320" s="2"/>
      <c r="S320" s="2"/>
    </row>
    <row r="321" spans="3:19">
      <c r="C321" s="1" t="s">
        <v>24</v>
      </c>
      <c r="D321" s="5"/>
      <c r="E321" s="1" t="s">
        <v>25</v>
      </c>
      <c r="F321" s="1"/>
      <c r="H321" s="7" t="str">
        <f t="shared" si="20"/>
        <v>"",</v>
      </c>
      <c r="I321" s="2"/>
      <c r="J321" s="2"/>
      <c r="K321" s="2"/>
      <c r="L321" s="2"/>
      <c r="M321" s="2"/>
      <c r="N321" s="2"/>
      <c r="O321" s="7"/>
      <c r="P321" s="2"/>
      <c r="Q321" s="2"/>
      <c r="R321" s="2"/>
      <c r="S321" s="2"/>
    </row>
    <row r="322" spans="3:19">
      <c r="C322" s="1" t="s">
        <v>24</v>
      </c>
      <c r="D322" s="5"/>
      <c r="E322" s="1" t="s">
        <v>25</v>
      </c>
      <c r="F322" s="1"/>
      <c r="H322" s="7" t="str">
        <f t="shared" si="20"/>
        <v>"",</v>
      </c>
      <c r="I322" s="2"/>
      <c r="J322" s="2"/>
      <c r="K322" s="2"/>
      <c r="L322" s="2"/>
      <c r="M322" s="2"/>
      <c r="N322" s="2"/>
      <c r="O322" s="7"/>
      <c r="P322" s="2"/>
      <c r="Q322" s="2"/>
      <c r="R322" s="2"/>
      <c r="S322" s="2"/>
    </row>
    <row r="325" spans="3:19">
      <c r="C325" s="1" t="s">
        <v>24</v>
      </c>
      <c r="D325" s="5"/>
      <c r="E325" s="1" t="s">
        <v>25</v>
      </c>
      <c r="F325" s="1"/>
      <c r="H325" s="7" t="str">
        <f t="shared" ref="H325:H362" si="21">_xlfn.CONCAT(C325:F325)</f>
        <v>"",</v>
      </c>
      <c r="J325" s="1" t="s">
        <v>24</v>
      </c>
      <c r="K325" s="5"/>
      <c r="L325" s="1" t="s">
        <v>25</v>
      </c>
      <c r="M325" s="1"/>
      <c r="O325" s="7" t="str">
        <f t="shared" ref="O325:O362" si="22">_xlfn.CONCAT(J325:M325)</f>
        <v>"",</v>
      </c>
      <c r="P325" s="2"/>
      <c r="Q325" s="2"/>
      <c r="R325" s="2"/>
      <c r="S325" s="2"/>
    </row>
    <row r="326" spans="3:19">
      <c r="C326" s="1" t="s">
        <v>24</v>
      </c>
      <c r="D326" s="5"/>
      <c r="E326" s="1" t="s">
        <v>25</v>
      </c>
      <c r="F326" s="1"/>
      <c r="H326" s="7" t="str">
        <f t="shared" si="21"/>
        <v>"",</v>
      </c>
      <c r="J326" s="1" t="s">
        <v>24</v>
      </c>
      <c r="K326" s="5"/>
      <c r="L326" s="1" t="s">
        <v>25</v>
      </c>
      <c r="M326" s="1"/>
      <c r="O326" s="7" t="str">
        <f t="shared" si="22"/>
        <v>"",</v>
      </c>
      <c r="P326" s="2"/>
      <c r="Q326" s="2"/>
      <c r="R326" s="2"/>
      <c r="S326" s="2"/>
    </row>
    <row r="327" spans="3:19">
      <c r="C327" s="1" t="s">
        <v>24</v>
      </c>
      <c r="D327" s="5"/>
      <c r="E327" s="1" t="s">
        <v>25</v>
      </c>
      <c r="F327" s="1"/>
      <c r="H327" s="7" t="str">
        <f t="shared" si="21"/>
        <v>"",</v>
      </c>
      <c r="J327" s="1" t="s">
        <v>24</v>
      </c>
      <c r="K327" s="5"/>
      <c r="L327" s="1" t="s">
        <v>25</v>
      </c>
      <c r="M327" s="1"/>
      <c r="O327" s="7" t="str">
        <f t="shared" si="22"/>
        <v>"",</v>
      </c>
      <c r="P327" s="2"/>
      <c r="Q327" s="2"/>
      <c r="R327" s="2"/>
      <c r="S327" s="2"/>
    </row>
    <row r="328" spans="3:19">
      <c r="C328" s="1" t="s">
        <v>24</v>
      </c>
      <c r="D328" s="5"/>
      <c r="E328" s="1" t="s">
        <v>25</v>
      </c>
      <c r="F328" s="1"/>
      <c r="H328" s="7" t="str">
        <f t="shared" si="21"/>
        <v>"",</v>
      </c>
      <c r="J328" s="1" t="s">
        <v>24</v>
      </c>
      <c r="K328" s="5"/>
      <c r="L328" s="1" t="s">
        <v>25</v>
      </c>
      <c r="M328" s="1"/>
      <c r="O328" s="7" t="str">
        <f t="shared" si="22"/>
        <v>"",</v>
      </c>
      <c r="P328" s="2"/>
      <c r="Q328" s="2"/>
      <c r="R328" s="2"/>
      <c r="S328" s="2"/>
    </row>
    <row r="329" spans="3:19">
      <c r="C329" s="1" t="s">
        <v>24</v>
      </c>
      <c r="D329" s="5"/>
      <c r="E329" s="1" t="s">
        <v>25</v>
      </c>
      <c r="F329" s="1"/>
      <c r="H329" s="7" t="str">
        <f t="shared" si="21"/>
        <v>"",</v>
      </c>
      <c r="J329" s="1" t="s">
        <v>24</v>
      </c>
      <c r="K329" s="5"/>
      <c r="L329" s="1" t="s">
        <v>25</v>
      </c>
      <c r="M329" s="1"/>
      <c r="O329" s="7" t="str">
        <f t="shared" si="22"/>
        <v>"",</v>
      </c>
      <c r="P329" s="2"/>
      <c r="Q329" s="2"/>
      <c r="R329" s="2"/>
      <c r="S329" s="2"/>
    </row>
    <row r="330" spans="3:19">
      <c r="C330" s="1" t="s">
        <v>24</v>
      </c>
      <c r="D330" s="5"/>
      <c r="E330" s="1" t="s">
        <v>25</v>
      </c>
      <c r="F330" s="1"/>
      <c r="H330" s="7" t="str">
        <f t="shared" si="21"/>
        <v>"",</v>
      </c>
      <c r="J330" s="1" t="s">
        <v>24</v>
      </c>
      <c r="K330" s="5"/>
      <c r="L330" s="1" t="s">
        <v>25</v>
      </c>
      <c r="M330" s="1"/>
      <c r="O330" s="7" t="str">
        <f t="shared" si="22"/>
        <v>"",</v>
      </c>
      <c r="P330" s="2"/>
      <c r="Q330" s="2"/>
      <c r="R330" s="2"/>
      <c r="S330" s="2"/>
    </row>
    <row r="331" spans="3:19">
      <c r="C331" s="1" t="s">
        <v>24</v>
      </c>
      <c r="D331" s="5"/>
      <c r="E331" s="1" t="s">
        <v>25</v>
      </c>
      <c r="F331" s="1"/>
      <c r="H331" s="7" t="str">
        <f t="shared" si="21"/>
        <v>"",</v>
      </c>
      <c r="J331" s="1" t="s">
        <v>24</v>
      </c>
      <c r="K331" s="5"/>
      <c r="L331" s="1" t="s">
        <v>25</v>
      </c>
      <c r="M331" s="1"/>
      <c r="O331" s="7" t="str">
        <f t="shared" si="22"/>
        <v>"",</v>
      </c>
      <c r="P331" s="2"/>
      <c r="Q331" s="2"/>
      <c r="R331" s="2"/>
      <c r="S331" s="2"/>
    </row>
    <row r="332" spans="3:19">
      <c r="C332" s="1" t="s">
        <v>24</v>
      </c>
      <c r="D332" s="5"/>
      <c r="E332" s="1" t="s">
        <v>25</v>
      </c>
      <c r="F332" s="1"/>
      <c r="H332" s="7" t="str">
        <f t="shared" si="21"/>
        <v>"",</v>
      </c>
      <c r="J332" s="1" t="s">
        <v>24</v>
      </c>
      <c r="K332" s="5"/>
      <c r="L332" s="1" t="s">
        <v>25</v>
      </c>
      <c r="M332" s="1"/>
      <c r="O332" s="7" t="str">
        <f t="shared" si="22"/>
        <v>"",</v>
      </c>
      <c r="P332" s="2"/>
      <c r="Q332" s="2"/>
      <c r="R332" s="2"/>
      <c r="S332" s="2"/>
    </row>
    <row r="333" spans="3:19">
      <c r="C333" s="1" t="s">
        <v>24</v>
      </c>
      <c r="D333" s="5"/>
      <c r="E333" s="1" t="s">
        <v>25</v>
      </c>
      <c r="F333" s="1"/>
      <c r="H333" s="7" t="str">
        <f t="shared" si="21"/>
        <v>"",</v>
      </c>
      <c r="J333" s="1" t="s">
        <v>24</v>
      </c>
      <c r="K333" s="5"/>
      <c r="L333" s="1" t="s">
        <v>25</v>
      </c>
      <c r="M333" s="1"/>
      <c r="O333" s="7" t="str">
        <f t="shared" si="22"/>
        <v>"",</v>
      </c>
      <c r="P333" s="2"/>
      <c r="Q333" s="2"/>
      <c r="R333" s="2"/>
      <c r="S333" s="2"/>
    </row>
    <row r="334" spans="3:19">
      <c r="C334" s="1" t="s">
        <v>24</v>
      </c>
      <c r="D334" s="5"/>
      <c r="E334" s="1" t="s">
        <v>25</v>
      </c>
      <c r="F334" s="1"/>
      <c r="H334" s="7" t="str">
        <f t="shared" si="21"/>
        <v>"",</v>
      </c>
      <c r="J334" s="1" t="s">
        <v>24</v>
      </c>
      <c r="K334" s="5"/>
      <c r="L334" s="1" t="s">
        <v>25</v>
      </c>
      <c r="M334" s="1"/>
      <c r="O334" s="7" t="str">
        <f t="shared" si="22"/>
        <v>"",</v>
      </c>
      <c r="P334" s="2"/>
      <c r="Q334" s="2"/>
      <c r="R334" s="2"/>
      <c r="S334" s="2"/>
    </row>
    <row r="335" spans="3:19">
      <c r="C335" s="1" t="s">
        <v>24</v>
      </c>
      <c r="D335" s="5"/>
      <c r="E335" s="1" t="s">
        <v>25</v>
      </c>
      <c r="F335" s="1"/>
      <c r="H335" s="7" t="str">
        <f t="shared" si="21"/>
        <v>"",</v>
      </c>
      <c r="J335" s="1" t="s">
        <v>24</v>
      </c>
      <c r="K335" s="5"/>
      <c r="L335" s="1" t="s">
        <v>25</v>
      </c>
      <c r="M335" s="1"/>
      <c r="O335" s="7" t="str">
        <f t="shared" si="22"/>
        <v>"",</v>
      </c>
      <c r="P335" s="2"/>
      <c r="Q335" s="2"/>
      <c r="R335" s="2"/>
      <c r="S335" s="2"/>
    </row>
    <row r="336" spans="3:19">
      <c r="C336" s="1" t="s">
        <v>24</v>
      </c>
      <c r="D336" s="5"/>
      <c r="E336" s="1" t="s">
        <v>25</v>
      </c>
      <c r="F336" s="1"/>
      <c r="H336" s="7" t="str">
        <f t="shared" si="21"/>
        <v>"",</v>
      </c>
      <c r="J336" s="1" t="s">
        <v>24</v>
      </c>
      <c r="K336" s="5"/>
      <c r="L336" s="1" t="s">
        <v>25</v>
      </c>
      <c r="M336" s="1"/>
      <c r="O336" s="7" t="str">
        <f t="shared" si="22"/>
        <v>"",</v>
      </c>
      <c r="P336" s="2"/>
      <c r="Q336" s="2"/>
      <c r="R336" s="2"/>
      <c r="S336" s="2"/>
    </row>
    <row r="337" spans="3:19">
      <c r="C337" s="1" t="s">
        <v>24</v>
      </c>
      <c r="D337" s="5"/>
      <c r="E337" s="1" t="s">
        <v>25</v>
      </c>
      <c r="F337" s="1"/>
      <c r="H337" s="7" t="str">
        <f t="shared" si="21"/>
        <v>"",</v>
      </c>
      <c r="J337" s="1" t="s">
        <v>24</v>
      </c>
      <c r="K337" s="5"/>
      <c r="L337" s="1" t="s">
        <v>25</v>
      </c>
      <c r="M337" s="1"/>
      <c r="O337" s="7" t="str">
        <f t="shared" si="22"/>
        <v>"",</v>
      </c>
      <c r="P337" s="2"/>
      <c r="Q337" s="2"/>
      <c r="R337" s="2"/>
      <c r="S337" s="2"/>
    </row>
    <row r="338" spans="3:19">
      <c r="C338" s="1" t="s">
        <v>24</v>
      </c>
      <c r="D338" s="5"/>
      <c r="E338" s="1" t="s">
        <v>25</v>
      </c>
      <c r="F338" s="1"/>
      <c r="H338" s="7" t="str">
        <f t="shared" si="21"/>
        <v>"",</v>
      </c>
      <c r="J338" s="1" t="s">
        <v>24</v>
      </c>
      <c r="K338" s="5"/>
      <c r="L338" s="1" t="s">
        <v>25</v>
      </c>
      <c r="M338" s="1"/>
      <c r="O338" s="7" t="str">
        <f t="shared" si="22"/>
        <v>"",</v>
      </c>
      <c r="P338" s="2"/>
      <c r="Q338" s="2"/>
      <c r="R338" s="2"/>
      <c r="S338" s="2"/>
    </row>
    <row r="339" spans="3:19">
      <c r="C339" s="1" t="s">
        <v>24</v>
      </c>
      <c r="D339" s="5"/>
      <c r="E339" s="1" t="s">
        <v>25</v>
      </c>
      <c r="F339" s="1"/>
      <c r="H339" s="7" t="str">
        <f t="shared" si="21"/>
        <v>"",</v>
      </c>
      <c r="J339" s="1" t="s">
        <v>24</v>
      </c>
      <c r="K339" s="5"/>
      <c r="L339" s="1" t="s">
        <v>25</v>
      </c>
      <c r="M339" s="1"/>
      <c r="O339" s="7" t="str">
        <f t="shared" si="22"/>
        <v>"",</v>
      </c>
      <c r="P339" s="2"/>
      <c r="Q339" s="2"/>
      <c r="R339" s="2"/>
      <c r="S339" s="2"/>
    </row>
    <row r="340" spans="3:19">
      <c r="C340" s="1" t="s">
        <v>24</v>
      </c>
      <c r="D340" s="5"/>
      <c r="E340" s="1" t="s">
        <v>25</v>
      </c>
      <c r="F340" s="1"/>
      <c r="H340" s="7" t="str">
        <f t="shared" si="21"/>
        <v>"",</v>
      </c>
      <c r="J340" s="1" t="s">
        <v>24</v>
      </c>
      <c r="K340" s="5"/>
      <c r="L340" s="1" t="s">
        <v>25</v>
      </c>
      <c r="M340" s="1"/>
      <c r="O340" s="7" t="str">
        <f t="shared" si="22"/>
        <v>"",</v>
      </c>
      <c r="P340" s="2"/>
      <c r="Q340" s="2"/>
      <c r="R340" s="2"/>
      <c r="S340" s="2"/>
    </row>
    <row r="341" spans="3:19">
      <c r="C341" s="1" t="s">
        <v>24</v>
      </c>
      <c r="D341" s="5"/>
      <c r="E341" s="1" t="s">
        <v>25</v>
      </c>
      <c r="F341" s="1"/>
      <c r="H341" s="7" t="str">
        <f t="shared" si="21"/>
        <v>"",</v>
      </c>
      <c r="J341" s="1" t="s">
        <v>24</v>
      </c>
      <c r="K341" s="5"/>
      <c r="L341" s="1" t="s">
        <v>25</v>
      </c>
      <c r="M341" s="1"/>
      <c r="O341" s="7" t="str">
        <f t="shared" si="22"/>
        <v>"",</v>
      </c>
      <c r="P341" s="2"/>
      <c r="Q341" s="2"/>
      <c r="R341" s="2"/>
      <c r="S341" s="2"/>
    </row>
    <row r="342" spans="3:19">
      <c r="C342" s="1" t="s">
        <v>24</v>
      </c>
      <c r="D342" s="5"/>
      <c r="E342" s="1" t="s">
        <v>25</v>
      </c>
      <c r="F342" s="1"/>
      <c r="H342" s="7" t="str">
        <f t="shared" si="21"/>
        <v>"",</v>
      </c>
      <c r="J342" s="1" t="s">
        <v>24</v>
      </c>
      <c r="K342" s="5"/>
      <c r="L342" s="1" t="s">
        <v>25</v>
      </c>
      <c r="M342" s="1"/>
      <c r="O342" s="7" t="str">
        <f t="shared" si="22"/>
        <v>"",</v>
      </c>
      <c r="P342" s="2"/>
      <c r="Q342" s="2"/>
      <c r="R342" s="2"/>
      <c r="S342" s="2"/>
    </row>
    <row r="343" spans="3:19">
      <c r="C343" s="1" t="s">
        <v>24</v>
      </c>
      <c r="D343" s="5"/>
      <c r="E343" s="1" t="s">
        <v>25</v>
      </c>
      <c r="F343" s="1"/>
      <c r="H343" s="7" t="str">
        <f t="shared" si="21"/>
        <v>"",</v>
      </c>
      <c r="J343" s="1" t="s">
        <v>24</v>
      </c>
      <c r="K343" s="5"/>
      <c r="L343" s="1" t="s">
        <v>25</v>
      </c>
      <c r="M343" s="1"/>
      <c r="O343" s="7" t="str">
        <f t="shared" si="22"/>
        <v>"",</v>
      </c>
      <c r="P343" s="2"/>
      <c r="Q343" s="2"/>
      <c r="R343" s="2"/>
      <c r="S343" s="2"/>
    </row>
    <row r="344" spans="3:19">
      <c r="C344" s="1" t="s">
        <v>24</v>
      </c>
      <c r="D344" s="5"/>
      <c r="E344" s="1" t="s">
        <v>25</v>
      </c>
      <c r="F344" s="1"/>
      <c r="H344" s="7" t="str">
        <f t="shared" si="21"/>
        <v>"",</v>
      </c>
      <c r="J344" s="1" t="s">
        <v>24</v>
      </c>
      <c r="K344" s="5"/>
      <c r="L344" s="1" t="s">
        <v>25</v>
      </c>
      <c r="M344" s="1"/>
      <c r="O344" s="7" t="str">
        <f t="shared" si="22"/>
        <v>"",</v>
      </c>
      <c r="P344" s="2"/>
      <c r="Q344" s="2"/>
      <c r="R344" s="2"/>
      <c r="S344" s="2"/>
    </row>
    <row r="345" spans="3:19">
      <c r="C345" s="1" t="s">
        <v>24</v>
      </c>
      <c r="D345" s="5"/>
      <c r="E345" s="1" t="s">
        <v>25</v>
      </c>
      <c r="F345" s="1"/>
      <c r="H345" s="7" t="str">
        <f t="shared" si="21"/>
        <v>"",</v>
      </c>
      <c r="J345" s="1" t="s">
        <v>24</v>
      </c>
      <c r="K345" s="5"/>
      <c r="L345" s="1" t="s">
        <v>25</v>
      </c>
      <c r="M345" s="1"/>
      <c r="O345" s="7" t="str">
        <f t="shared" si="22"/>
        <v>"",</v>
      </c>
      <c r="P345" s="2"/>
      <c r="Q345" s="2"/>
      <c r="R345" s="2"/>
      <c r="S345" s="2"/>
    </row>
    <row r="346" spans="3:19">
      <c r="C346" s="1" t="s">
        <v>24</v>
      </c>
      <c r="D346" s="5"/>
      <c r="E346" s="1" t="s">
        <v>25</v>
      </c>
      <c r="F346" s="1"/>
      <c r="H346" s="7" t="str">
        <f t="shared" si="21"/>
        <v>"",</v>
      </c>
      <c r="J346" s="1" t="s">
        <v>24</v>
      </c>
      <c r="K346" s="5"/>
      <c r="L346" s="1" t="s">
        <v>25</v>
      </c>
      <c r="M346" s="1"/>
      <c r="O346" s="7" t="str">
        <f t="shared" si="22"/>
        <v>"",</v>
      </c>
      <c r="P346" s="2"/>
      <c r="Q346" s="2"/>
      <c r="R346" s="2"/>
      <c r="S346" s="2"/>
    </row>
    <row r="347" spans="3:19">
      <c r="C347" s="1" t="s">
        <v>24</v>
      </c>
      <c r="D347" s="5"/>
      <c r="E347" s="1" t="s">
        <v>25</v>
      </c>
      <c r="F347" s="1"/>
      <c r="H347" s="7" t="str">
        <f t="shared" si="21"/>
        <v>"",</v>
      </c>
      <c r="J347" s="1" t="s">
        <v>24</v>
      </c>
      <c r="K347" s="5"/>
      <c r="L347" s="1" t="s">
        <v>25</v>
      </c>
      <c r="M347" s="1"/>
      <c r="O347" s="7" t="str">
        <f t="shared" si="22"/>
        <v>"",</v>
      </c>
      <c r="P347" s="2"/>
      <c r="Q347" s="2"/>
      <c r="R347" s="2"/>
      <c r="S347" s="2"/>
    </row>
    <row r="348" spans="3:19">
      <c r="C348" s="1" t="s">
        <v>24</v>
      </c>
      <c r="D348" s="5"/>
      <c r="E348" s="1" t="s">
        <v>25</v>
      </c>
      <c r="F348" s="1"/>
      <c r="H348" s="7" t="str">
        <f t="shared" si="21"/>
        <v>"",</v>
      </c>
      <c r="J348" s="1" t="s">
        <v>24</v>
      </c>
      <c r="K348" s="5"/>
      <c r="L348" s="1" t="s">
        <v>25</v>
      </c>
      <c r="M348" s="1"/>
      <c r="O348" s="7" t="str">
        <f t="shared" si="22"/>
        <v>"",</v>
      </c>
      <c r="P348" s="2"/>
      <c r="Q348" s="2"/>
      <c r="R348" s="2"/>
      <c r="S348" s="2"/>
    </row>
    <row r="349" spans="3:19">
      <c r="C349" s="1" t="s">
        <v>24</v>
      </c>
      <c r="D349" s="5"/>
      <c r="E349" s="1" t="s">
        <v>25</v>
      </c>
      <c r="F349" s="1"/>
      <c r="H349" s="7" t="str">
        <f t="shared" si="21"/>
        <v>"",</v>
      </c>
      <c r="J349" s="1" t="s">
        <v>24</v>
      </c>
      <c r="K349" s="5"/>
      <c r="L349" s="1" t="s">
        <v>25</v>
      </c>
      <c r="M349" s="1"/>
      <c r="O349" s="7" t="str">
        <f t="shared" si="22"/>
        <v>"",</v>
      </c>
      <c r="P349" s="2"/>
      <c r="Q349" s="2"/>
      <c r="R349" s="2"/>
      <c r="S349" s="2"/>
    </row>
    <row r="350" spans="3:19">
      <c r="C350" s="1" t="s">
        <v>24</v>
      </c>
      <c r="D350" s="5"/>
      <c r="E350" s="1" t="s">
        <v>25</v>
      </c>
      <c r="F350" s="1"/>
      <c r="H350" s="7" t="str">
        <f t="shared" si="21"/>
        <v>"",</v>
      </c>
      <c r="J350" s="1" t="s">
        <v>24</v>
      </c>
      <c r="K350" s="5"/>
      <c r="L350" s="1" t="s">
        <v>25</v>
      </c>
      <c r="M350" s="1"/>
      <c r="O350" s="7" t="str">
        <f t="shared" si="22"/>
        <v>"",</v>
      </c>
      <c r="P350" s="2"/>
      <c r="Q350" s="2"/>
      <c r="R350" s="2"/>
      <c r="S350" s="2"/>
    </row>
    <row r="351" spans="3:19">
      <c r="C351" s="1" t="s">
        <v>24</v>
      </c>
      <c r="D351" s="5"/>
      <c r="E351" s="1" t="s">
        <v>25</v>
      </c>
      <c r="F351" s="1"/>
      <c r="H351" s="7" t="str">
        <f t="shared" si="21"/>
        <v>"",</v>
      </c>
      <c r="J351" s="1" t="s">
        <v>24</v>
      </c>
      <c r="K351" s="5"/>
      <c r="L351" s="1" t="s">
        <v>25</v>
      </c>
      <c r="M351" s="1"/>
      <c r="O351" s="7" t="str">
        <f t="shared" si="22"/>
        <v>"",</v>
      </c>
      <c r="P351" s="2"/>
      <c r="Q351" s="2"/>
      <c r="R351" s="2"/>
      <c r="S351" s="2"/>
    </row>
    <row r="352" spans="3:19">
      <c r="C352" s="1" t="s">
        <v>24</v>
      </c>
      <c r="D352" s="5"/>
      <c r="E352" s="1" t="s">
        <v>25</v>
      </c>
      <c r="F352" s="1"/>
      <c r="H352" s="7" t="str">
        <f t="shared" si="21"/>
        <v>"",</v>
      </c>
      <c r="J352" s="1" t="s">
        <v>24</v>
      </c>
      <c r="K352" s="5"/>
      <c r="L352" s="1" t="s">
        <v>25</v>
      </c>
      <c r="M352" s="1"/>
      <c r="O352" s="7" t="str">
        <f t="shared" si="22"/>
        <v>"",</v>
      </c>
      <c r="P352" s="2"/>
      <c r="Q352" s="2"/>
      <c r="R352" s="2"/>
      <c r="S352" s="2"/>
    </row>
    <row r="353" spans="3:19">
      <c r="C353" s="1" t="s">
        <v>24</v>
      </c>
      <c r="D353" s="5"/>
      <c r="E353" s="1" t="s">
        <v>25</v>
      </c>
      <c r="F353" s="1"/>
      <c r="H353" s="7" t="str">
        <f t="shared" si="21"/>
        <v>"",</v>
      </c>
      <c r="J353" s="1" t="s">
        <v>24</v>
      </c>
      <c r="K353" s="5"/>
      <c r="L353" s="1" t="s">
        <v>25</v>
      </c>
      <c r="M353" s="1"/>
      <c r="O353" s="7" t="str">
        <f t="shared" si="22"/>
        <v>"",</v>
      </c>
      <c r="P353" s="2"/>
      <c r="Q353" s="2"/>
      <c r="R353" s="2"/>
      <c r="S353" s="2"/>
    </row>
    <row r="354" spans="3:19">
      <c r="C354" s="1" t="s">
        <v>24</v>
      </c>
      <c r="D354" s="5"/>
      <c r="E354" s="1" t="s">
        <v>25</v>
      </c>
      <c r="F354" s="1"/>
      <c r="H354" s="7" t="str">
        <f t="shared" si="21"/>
        <v>"",</v>
      </c>
      <c r="J354" s="1" t="s">
        <v>24</v>
      </c>
      <c r="K354" s="5"/>
      <c r="L354" s="1" t="s">
        <v>25</v>
      </c>
      <c r="M354" s="1"/>
      <c r="O354" s="7" t="str">
        <f t="shared" si="22"/>
        <v>"",</v>
      </c>
      <c r="P354" s="2"/>
      <c r="Q354" s="2"/>
      <c r="R354" s="2"/>
      <c r="S354" s="2"/>
    </row>
    <row r="355" spans="3:19">
      <c r="C355" s="1" t="s">
        <v>24</v>
      </c>
      <c r="D355" s="5"/>
      <c r="E355" s="1" t="s">
        <v>25</v>
      </c>
      <c r="F355" s="1"/>
      <c r="H355" s="7" t="str">
        <f t="shared" si="21"/>
        <v>"",</v>
      </c>
      <c r="J355" s="1" t="s">
        <v>24</v>
      </c>
      <c r="K355" s="5"/>
      <c r="L355" s="1" t="s">
        <v>25</v>
      </c>
      <c r="M355" s="1"/>
      <c r="O355" s="7" t="str">
        <f t="shared" si="22"/>
        <v>"",</v>
      </c>
      <c r="P355" s="2"/>
      <c r="Q355" s="2"/>
      <c r="R355" s="2"/>
      <c r="S355" s="2"/>
    </row>
    <row r="356" spans="3:19">
      <c r="C356" s="1" t="s">
        <v>24</v>
      </c>
      <c r="D356" s="5"/>
      <c r="E356" s="1" t="s">
        <v>25</v>
      </c>
      <c r="F356" s="1"/>
      <c r="H356" s="7" t="str">
        <f t="shared" si="21"/>
        <v>"",</v>
      </c>
      <c r="J356" s="1" t="s">
        <v>24</v>
      </c>
      <c r="K356" s="5"/>
      <c r="L356" s="1" t="s">
        <v>25</v>
      </c>
      <c r="M356" s="1"/>
      <c r="O356" s="7" t="str">
        <f t="shared" si="22"/>
        <v>"",</v>
      </c>
      <c r="P356" s="2"/>
      <c r="Q356" s="2"/>
      <c r="R356" s="2"/>
      <c r="S356" s="2"/>
    </row>
    <row r="357" spans="3:19">
      <c r="C357" s="1" t="s">
        <v>24</v>
      </c>
      <c r="D357" s="5"/>
      <c r="E357" s="1" t="s">
        <v>25</v>
      </c>
      <c r="F357" s="1"/>
      <c r="H357" s="7" t="str">
        <f t="shared" si="21"/>
        <v>"",</v>
      </c>
      <c r="J357" s="1" t="s">
        <v>24</v>
      </c>
      <c r="K357" s="5"/>
      <c r="L357" s="1" t="s">
        <v>25</v>
      </c>
      <c r="M357" s="1"/>
      <c r="O357" s="7" t="str">
        <f t="shared" si="22"/>
        <v>"",</v>
      </c>
      <c r="P357" s="2"/>
      <c r="Q357" s="2"/>
      <c r="R357" s="2"/>
      <c r="S357" s="2"/>
    </row>
    <row r="358" spans="3:19">
      <c r="C358" s="1" t="s">
        <v>24</v>
      </c>
      <c r="D358" s="5"/>
      <c r="E358" s="1" t="s">
        <v>25</v>
      </c>
      <c r="F358" s="1"/>
      <c r="H358" s="7" t="str">
        <f t="shared" si="21"/>
        <v>"",</v>
      </c>
      <c r="J358" s="1" t="s">
        <v>24</v>
      </c>
      <c r="K358" s="5"/>
      <c r="L358" s="1" t="s">
        <v>25</v>
      </c>
      <c r="M358" s="1"/>
      <c r="O358" s="7" t="str">
        <f t="shared" si="22"/>
        <v>"",</v>
      </c>
      <c r="P358" s="2"/>
      <c r="Q358" s="2"/>
      <c r="R358" s="2"/>
      <c r="S358" s="2"/>
    </row>
    <row r="359" spans="3:19">
      <c r="C359" s="1" t="s">
        <v>24</v>
      </c>
      <c r="D359" s="5"/>
      <c r="E359" s="1" t="s">
        <v>25</v>
      </c>
      <c r="F359" s="1"/>
      <c r="H359" s="7" t="str">
        <f t="shared" si="21"/>
        <v>"",</v>
      </c>
      <c r="J359" s="1" t="s">
        <v>24</v>
      </c>
      <c r="K359" s="5"/>
      <c r="L359" s="1" t="s">
        <v>25</v>
      </c>
      <c r="M359" s="1"/>
      <c r="O359" s="7" t="str">
        <f t="shared" si="22"/>
        <v>"",</v>
      </c>
      <c r="P359" s="2"/>
      <c r="Q359" s="2"/>
      <c r="R359" s="2"/>
      <c r="S359" s="2"/>
    </row>
    <row r="360" spans="3:19">
      <c r="C360" s="1" t="s">
        <v>24</v>
      </c>
      <c r="D360" s="5"/>
      <c r="E360" s="1" t="s">
        <v>25</v>
      </c>
      <c r="F360" s="1"/>
      <c r="H360" s="7" t="str">
        <f t="shared" si="21"/>
        <v>"",</v>
      </c>
      <c r="J360" s="1" t="s">
        <v>24</v>
      </c>
      <c r="K360" s="5"/>
      <c r="L360" s="1" t="s">
        <v>25</v>
      </c>
      <c r="M360" s="1"/>
      <c r="O360" s="7" t="str">
        <f t="shared" si="22"/>
        <v>"",</v>
      </c>
      <c r="P360" s="2"/>
      <c r="Q360" s="2"/>
      <c r="R360" s="2"/>
      <c r="S360" s="2"/>
    </row>
    <row r="361" spans="3:19">
      <c r="C361" s="1" t="s">
        <v>24</v>
      </c>
      <c r="D361" s="5"/>
      <c r="E361" s="1" t="s">
        <v>25</v>
      </c>
      <c r="F361" s="1"/>
      <c r="H361" s="7" t="str">
        <f t="shared" si="21"/>
        <v>"",</v>
      </c>
      <c r="J361" s="1" t="s">
        <v>24</v>
      </c>
      <c r="K361" s="5"/>
      <c r="L361" s="1" t="s">
        <v>25</v>
      </c>
      <c r="M361" s="1"/>
      <c r="O361" s="7" t="str">
        <f t="shared" si="22"/>
        <v>"",</v>
      </c>
      <c r="P361" s="2"/>
      <c r="Q361" s="2"/>
      <c r="R361" s="2"/>
      <c r="S361" s="2"/>
    </row>
    <row r="362" spans="3:19">
      <c r="C362" s="1" t="s">
        <v>24</v>
      </c>
      <c r="D362" s="5"/>
      <c r="E362" s="1" t="s">
        <v>25</v>
      </c>
      <c r="F362" s="1"/>
      <c r="H362" s="7" t="str">
        <f t="shared" si="21"/>
        <v>"",</v>
      </c>
      <c r="J362" s="1" t="s">
        <v>24</v>
      </c>
      <c r="K362" s="5"/>
      <c r="L362" s="1" t="s">
        <v>25</v>
      </c>
      <c r="M362" s="1"/>
      <c r="O362" s="7" t="str">
        <f t="shared" si="22"/>
        <v>"",</v>
      </c>
      <c r="P362" s="2"/>
      <c r="Q362" s="2"/>
      <c r="R362" s="2"/>
      <c r="S36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A863-E0D9-46EB-815B-B4125064EC83}">
  <dimension ref="A1:AD25"/>
  <sheetViews>
    <sheetView showGridLines="0" topLeftCell="M1" workbookViewId="0">
      <selection sqref="A1:AD25"/>
    </sheetView>
  </sheetViews>
  <sheetFormatPr baseColWidth="10" defaultRowHeight="10.199999999999999"/>
  <cols>
    <col min="5" max="8" width="23.42578125" customWidth="1"/>
    <col min="9" max="9" width="11.42578125" style="43"/>
    <col min="21" max="21" width="11.42578125" style="43"/>
  </cols>
  <sheetData>
    <row r="1" spans="1:30" ht="40.799999999999997">
      <c r="A1" s="44" t="str">
        <f>Matrix!A1</f>
        <v>Index_Row</v>
      </c>
      <c r="B1" s="44" t="str">
        <f>Matrix!B1</f>
        <v>Display_Region</v>
      </c>
      <c r="C1" s="44" t="str">
        <f>Matrix!C1</f>
        <v>Display_ConstructionYearClass</v>
      </c>
      <c r="D1" s="44" t="str">
        <f>Matrix!D1</f>
        <v>Display_AdditionalParameter</v>
      </c>
      <c r="E1" s="44" t="str">
        <f>Matrix!E1</f>
        <v>Code_BuildingType_Column1</v>
      </c>
      <c r="F1" s="44" t="str">
        <f>Matrix!F1</f>
        <v>Code_BuildingType_Column2</v>
      </c>
      <c r="G1" s="44" t="str">
        <f>Matrix!G1</f>
        <v>Code_BuildingType_Column3</v>
      </c>
      <c r="H1" s="44" t="str">
        <f>Matrix!H1</f>
        <v>Code_BuildingType_Column4</v>
      </c>
      <c r="I1" s="45" t="str">
        <f>Matrix!J1</f>
        <v>Code_Country</v>
      </c>
      <c r="J1" s="44" t="str">
        <f>Matrix!K1</f>
        <v>Code_TypologyRegion</v>
      </c>
      <c r="K1" s="44" t="str">
        <f>Matrix!L1</f>
        <v>Name_TypologyRegion</v>
      </c>
      <c r="L1" s="44" t="str">
        <f>Matrix!M1</f>
        <v>Name_National_TypologyRegion</v>
      </c>
      <c r="M1" s="44" t="str">
        <f>Matrix!N1</f>
        <v>Number_ConstructionYearClass</v>
      </c>
      <c r="N1" s="44" t="str">
        <f>Matrix!O1</f>
        <v>ConstructionYearClass_FirstYear</v>
      </c>
      <c r="O1" s="44" t="str">
        <f>Matrix!P1</f>
        <v>ConstructionYearClass_LastYear</v>
      </c>
      <c r="P1" s="44" t="str">
        <f>Matrix!Q1</f>
        <v>Code_AdditionalParameter</v>
      </c>
      <c r="Q1" s="44" t="str">
        <f>Matrix!R1</f>
        <v>Name_AdditionalParameter</v>
      </c>
      <c r="R1" s="44" t="str">
        <f>Matrix!S1</f>
        <v>Name_AdditionalParameter_National</v>
      </c>
      <c r="S1" s="44" t="str">
        <f>Matrix!T1</f>
        <v>Comment</v>
      </c>
      <c r="T1" s="44" t="str">
        <f>Matrix!U1</f>
        <v>Note_DataBaseAdmin</v>
      </c>
      <c r="U1" s="45" t="str">
        <f>Matrix!W1</f>
        <v>Suffix_Building_Column1</v>
      </c>
      <c r="V1" s="44" t="str">
        <f>Matrix!X1</f>
        <v>Suffix_Building_Column2</v>
      </c>
      <c r="W1" s="44" t="str">
        <f>Matrix!Y1</f>
        <v>Suffix_Building_Column3</v>
      </c>
      <c r="X1" s="44" t="str">
        <f>Matrix!Z1</f>
        <v>Suffix_Building_Column4</v>
      </c>
      <c r="Y1" s="44" t="s">
        <v>249</v>
      </c>
      <c r="Z1" s="44" t="s">
        <v>245</v>
      </c>
      <c r="AA1" s="44" t="s">
        <v>246</v>
      </c>
      <c r="AB1" s="44" t="s">
        <v>247</v>
      </c>
      <c r="AC1" s="44" t="s">
        <v>248</v>
      </c>
      <c r="AD1" s="44" t="s">
        <v>279</v>
      </c>
    </row>
    <row r="2" spans="1:30">
      <c r="A2" s="50">
        <f ca="1">Matrix!A11</f>
        <v>1</v>
      </c>
      <c r="B2" s="46" t="str">
        <f>Matrix!B11</f>
        <v>National 
(nicht regional spezifiziert)</v>
      </c>
      <c r="C2" s="46" t="str">
        <f>Matrix!C11</f>
        <v xml:space="preserve"> ... 1859</v>
      </c>
      <c r="D2" s="46" t="str">
        <f>Matrix!D11</f>
        <v>Generic 
(Basis-Typ)</v>
      </c>
      <c r="E2" s="46" t="str">
        <f>Matrix!E11</f>
        <v>DE.N.SFH.01.Gen</v>
      </c>
      <c r="F2" s="46" t="str">
        <f>Matrix!F11</f>
        <v/>
      </c>
      <c r="G2" s="46" t="str">
        <f>Matrix!G11</f>
        <v>DE.N.MFH.01.Gen</v>
      </c>
      <c r="H2" s="46" t="str">
        <f>Matrix!H11</f>
        <v/>
      </c>
      <c r="I2" s="47" t="str">
        <f>Matrix!J11</f>
        <v>DE</v>
      </c>
      <c r="J2" s="46" t="str">
        <f>Matrix!K11</f>
        <v>N</v>
      </c>
      <c r="K2" s="46" t="str">
        <f>Matrix!L11</f>
        <v>National</v>
      </c>
      <c r="L2" s="46" t="str">
        <f>Matrix!M11</f>
        <v>nicht regional spezifiziert</v>
      </c>
      <c r="M2" s="46">
        <f>Matrix!N11</f>
        <v>1</v>
      </c>
      <c r="N2" s="46">
        <f>Matrix!O11</f>
        <v>0</v>
      </c>
      <c r="O2" s="46">
        <f>Matrix!P11</f>
        <v>1859</v>
      </c>
      <c r="P2" s="46" t="str">
        <f>Matrix!Q11</f>
        <v>Gen</v>
      </c>
      <c r="Q2" s="46" t="str">
        <f>Matrix!R11</f>
        <v>Generic</v>
      </c>
      <c r="R2" s="46" t="str">
        <f>Matrix!S11</f>
        <v>Basis-Typ</v>
      </c>
      <c r="S2" s="46">
        <f>Matrix!T11</f>
        <v>0</v>
      </c>
      <c r="T2" s="46">
        <f>Matrix!U11</f>
        <v>0</v>
      </c>
      <c r="U2" s="47" t="str">
        <f>Matrix!W11</f>
        <v>ReEx.001</v>
      </c>
      <c r="V2" s="46">
        <f>Matrix!X11</f>
        <v>0</v>
      </c>
      <c r="W2" s="46" t="str">
        <f>Matrix!Y11</f>
        <v>ReEx.001</v>
      </c>
      <c r="X2" s="46">
        <f>Matrix!Z11</f>
        <v>0</v>
      </c>
      <c r="Y2" s="48" t="s">
        <v>250</v>
      </c>
      <c r="Z2" s="48" t="str">
        <f>"EFH_"&amp;$Y2</f>
        <v>EFH_A</v>
      </c>
      <c r="AA2" s="48" t="str">
        <f>"RH_"&amp;$Y2</f>
        <v>RH_A</v>
      </c>
      <c r="AB2" s="48" t="str">
        <f>"MFH_"&amp;$Y2</f>
        <v>MFH_A</v>
      </c>
      <c r="AC2" s="48" t="str">
        <f>"GMH_"&amp;$Y2</f>
        <v>GMH_A</v>
      </c>
      <c r="AD2" s="52">
        <v>45751</v>
      </c>
    </row>
    <row r="3" spans="1:30">
      <c r="A3" s="50">
        <f ca="1">Matrix!A12</f>
        <v>2</v>
      </c>
      <c r="B3" s="46" t="str">
        <f>Matrix!B12</f>
        <v>National 
(nicht regional spezifiziert)</v>
      </c>
      <c r="C3" s="46" t="str">
        <f>Matrix!C12</f>
        <v>1860 ... 1918</v>
      </c>
      <c r="D3" s="46" t="str">
        <f>Matrix!D12</f>
        <v>Generic 
(Basis-Typ)</v>
      </c>
      <c r="E3" s="46" t="str">
        <f ca="1">Matrix!E12</f>
        <v>DE.N.SFH.02.Gen</v>
      </c>
      <c r="F3" s="46" t="str">
        <f ca="1">Matrix!F12</f>
        <v>DE.N.TH.02.Gen</v>
      </c>
      <c r="G3" s="46" t="str">
        <f ca="1">Matrix!G12</f>
        <v>DE.N.MFH.02.Gen</v>
      </c>
      <c r="H3" s="46" t="str">
        <f ca="1">Matrix!H12</f>
        <v>DE.N.AB.02.Gen</v>
      </c>
      <c r="I3" s="47" t="str">
        <f ca="1">Matrix!J12</f>
        <v>DE</v>
      </c>
      <c r="J3" s="46" t="str">
        <f>Matrix!K12</f>
        <v>N</v>
      </c>
      <c r="K3" s="46" t="str">
        <f>Matrix!L12</f>
        <v>National</v>
      </c>
      <c r="L3" s="46" t="str">
        <f>Matrix!M12</f>
        <v>nicht regional spezifiziert</v>
      </c>
      <c r="M3" s="46">
        <f>Matrix!N12</f>
        <v>2</v>
      </c>
      <c r="N3" s="46">
        <f>Matrix!O12</f>
        <v>1860</v>
      </c>
      <c r="O3" s="46">
        <f>Matrix!P12</f>
        <v>1918</v>
      </c>
      <c r="P3" s="46" t="str">
        <f>Matrix!Q12</f>
        <v>Gen</v>
      </c>
      <c r="Q3" s="46" t="str">
        <f>Matrix!R12</f>
        <v>Generic</v>
      </c>
      <c r="R3" s="46" t="str">
        <f>Matrix!S12</f>
        <v>Basis-Typ</v>
      </c>
      <c r="S3" s="46">
        <f>Matrix!T12</f>
        <v>0</v>
      </c>
      <c r="T3" s="46">
        <f>Matrix!U12</f>
        <v>0</v>
      </c>
      <c r="U3" s="47" t="str">
        <f>Matrix!W12</f>
        <v>ReEx.001</v>
      </c>
      <c r="V3" s="46" t="str">
        <f>Matrix!X12</f>
        <v>ReEx.001</v>
      </c>
      <c r="W3" s="46" t="str">
        <f>Matrix!Y12</f>
        <v>ReEx.001</v>
      </c>
      <c r="X3" s="46" t="str">
        <f>Matrix!Z12</f>
        <v>ReEx.001</v>
      </c>
      <c r="Y3" s="48" t="s">
        <v>251</v>
      </c>
      <c r="Z3" s="48" t="str">
        <f t="shared" ref="Z3:Z14" si="0">"EFH_"&amp;$Y3</f>
        <v>EFH_B</v>
      </c>
      <c r="AA3" s="48" t="str">
        <f t="shared" ref="AA3:AA14" si="1">"RH_"&amp;$Y3</f>
        <v>RH_B</v>
      </c>
      <c r="AB3" s="48" t="str">
        <f t="shared" ref="AB3:AB14" si="2">"MFH_"&amp;$Y3</f>
        <v>MFH_B</v>
      </c>
      <c r="AC3" s="48" t="str">
        <f t="shared" ref="AC3:AC14" si="3">"GMH_"&amp;$Y3</f>
        <v>GMH_B</v>
      </c>
      <c r="AD3" s="52">
        <v>45751</v>
      </c>
    </row>
    <row r="4" spans="1:30">
      <c r="A4" s="50">
        <f ca="1">Matrix!A13</f>
        <v>3</v>
      </c>
      <c r="B4" s="46" t="str">
        <f>Matrix!B13</f>
        <v>National 
(nicht regional spezifiziert)</v>
      </c>
      <c r="C4" s="46" t="str">
        <f>Matrix!C13</f>
        <v>1919 ... 1948</v>
      </c>
      <c r="D4" s="46" t="str">
        <f>Matrix!D13</f>
        <v>Generic 
(Basis-Typ)</v>
      </c>
      <c r="E4" s="46" t="str">
        <f ca="1">Matrix!E13</f>
        <v>DE.N.SFH.03.Gen</v>
      </c>
      <c r="F4" s="46" t="str">
        <f ca="1">Matrix!F13</f>
        <v>DE.N.TH.03.Gen</v>
      </c>
      <c r="G4" s="46" t="str">
        <f ca="1">Matrix!G13</f>
        <v>DE.N.MFH.03.Gen</v>
      </c>
      <c r="H4" s="46" t="str">
        <f ca="1">Matrix!H13</f>
        <v>DE.N.AB.03.Gen</v>
      </c>
      <c r="I4" s="47" t="str">
        <f ca="1">Matrix!J13</f>
        <v>DE</v>
      </c>
      <c r="J4" s="46" t="str">
        <f>Matrix!K13</f>
        <v>N</v>
      </c>
      <c r="K4" s="46" t="str">
        <f>Matrix!L13</f>
        <v>National</v>
      </c>
      <c r="L4" s="46" t="str">
        <f>Matrix!M13</f>
        <v>nicht regional spezifiziert</v>
      </c>
      <c r="M4" s="46">
        <f>Matrix!N13</f>
        <v>3</v>
      </c>
      <c r="N4" s="46">
        <f>Matrix!O13</f>
        <v>1919</v>
      </c>
      <c r="O4" s="46">
        <f>Matrix!P13</f>
        <v>1948</v>
      </c>
      <c r="P4" s="46" t="str">
        <f>Matrix!Q13</f>
        <v>Gen</v>
      </c>
      <c r="Q4" s="46" t="str">
        <f>Matrix!R13</f>
        <v>Generic</v>
      </c>
      <c r="R4" s="46" t="str">
        <f>Matrix!S13</f>
        <v>Basis-Typ</v>
      </c>
      <c r="S4" s="46">
        <f>Matrix!T13</f>
        <v>0</v>
      </c>
      <c r="T4" s="46">
        <f>Matrix!U13</f>
        <v>0</v>
      </c>
      <c r="U4" s="47" t="str">
        <f>Matrix!W13</f>
        <v>ReEx.001</v>
      </c>
      <c r="V4" s="46" t="str">
        <f>Matrix!X13</f>
        <v>ReEx.001</v>
      </c>
      <c r="W4" s="46" t="str">
        <f>Matrix!Y13</f>
        <v>ReEx.001</v>
      </c>
      <c r="X4" s="46" t="str">
        <f>Matrix!Z13</f>
        <v>ReEx.001</v>
      </c>
      <c r="Y4" s="48" t="s">
        <v>63</v>
      </c>
      <c r="Z4" s="48" t="str">
        <f t="shared" si="0"/>
        <v>EFH_C</v>
      </c>
      <c r="AA4" s="48" t="str">
        <f t="shared" si="1"/>
        <v>RH_C</v>
      </c>
      <c r="AB4" s="48" t="str">
        <f t="shared" si="2"/>
        <v>MFH_C</v>
      </c>
      <c r="AC4" s="48" t="str">
        <f t="shared" si="3"/>
        <v>GMH_C</v>
      </c>
      <c r="AD4" s="52">
        <v>45751</v>
      </c>
    </row>
    <row r="5" spans="1:30">
      <c r="A5" s="50">
        <f ca="1">Matrix!A14</f>
        <v>4</v>
      </c>
      <c r="B5" s="46" t="str">
        <f>Matrix!B14</f>
        <v>National 
(nicht regional spezifiziert)</v>
      </c>
      <c r="C5" s="46" t="str">
        <f>Matrix!C14</f>
        <v>1949 ... 1957</v>
      </c>
      <c r="D5" s="46" t="str">
        <f>Matrix!D14</f>
        <v>Generic 
(Basis-Typ)</v>
      </c>
      <c r="E5" s="46" t="str">
        <f ca="1">Matrix!E14</f>
        <v>DE.N.SFH.04.Gen</v>
      </c>
      <c r="F5" s="46" t="str">
        <f ca="1">Matrix!F14</f>
        <v>DE.N.TH.04.Gen</v>
      </c>
      <c r="G5" s="46" t="str">
        <f ca="1">Matrix!G14</f>
        <v>DE.N.MFH.04.Gen</v>
      </c>
      <c r="H5" s="46" t="str">
        <f ca="1">Matrix!H14</f>
        <v>DE.N.AB.04.Gen</v>
      </c>
      <c r="I5" s="47" t="str">
        <f ca="1">Matrix!J14</f>
        <v>DE</v>
      </c>
      <c r="J5" s="46" t="str">
        <f>Matrix!K14</f>
        <v>N</v>
      </c>
      <c r="K5" s="46" t="str">
        <f>Matrix!L14</f>
        <v>National</v>
      </c>
      <c r="L5" s="46" t="str">
        <f>Matrix!M14</f>
        <v>nicht regional spezifiziert</v>
      </c>
      <c r="M5" s="46">
        <f>Matrix!N14</f>
        <v>4</v>
      </c>
      <c r="N5" s="46">
        <f>Matrix!O14</f>
        <v>1949</v>
      </c>
      <c r="O5" s="46">
        <f>Matrix!P14</f>
        <v>1957</v>
      </c>
      <c r="P5" s="46" t="str">
        <f>Matrix!Q14</f>
        <v>Gen</v>
      </c>
      <c r="Q5" s="46" t="str">
        <f>Matrix!R14</f>
        <v>Generic</v>
      </c>
      <c r="R5" s="46" t="str">
        <f>Matrix!S14</f>
        <v>Basis-Typ</v>
      </c>
      <c r="S5" s="46">
        <f>Matrix!T14</f>
        <v>0</v>
      </c>
      <c r="T5" s="46">
        <f>Matrix!U14</f>
        <v>0</v>
      </c>
      <c r="U5" s="47" t="str">
        <f>Matrix!W14</f>
        <v>ReEx.001</v>
      </c>
      <c r="V5" s="46" t="str">
        <f>Matrix!X14</f>
        <v>ReEx.001</v>
      </c>
      <c r="W5" s="46" t="str">
        <f>Matrix!Y14</f>
        <v>ReEx.001</v>
      </c>
      <c r="X5" s="46" t="str">
        <f>Matrix!Z14</f>
        <v>ReEx.001</v>
      </c>
      <c r="Y5" s="48" t="s">
        <v>252</v>
      </c>
      <c r="Z5" s="48" t="str">
        <f t="shared" si="0"/>
        <v>EFH_D</v>
      </c>
      <c r="AA5" s="48" t="str">
        <f t="shared" si="1"/>
        <v>RH_D</v>
      </c>
      <c r="AB5" s="48" t="str">
        <f t="shared" si="2"/>
        <v>MFH_D</v>
      </c>
      <c r="AC5" s="48" t="str">
        <f t="shared" si="3"/>
        <v>GMH_D</v>
      </c>
      <c r="AD5" s="52">
        <v>45751</v>
      </c>
    </row>
    <row r="6" spans="1:30">
      <c r="A6" s="50">
        <f ca="1">Matrix!A15</f>
        <v>5</v>
      </c>
      <c r="B6" s="46" t="str">
        <f>Matrix!B15</f>
        <v>National 
(nicht regional spezifiziert)</v>
      </c>
      <c r="C6" s="46" t="str">
        <f>Matrix!C15</f>
        <v>1958 ... 1968</v>
      </c>
      <c r="D6" s="46" t="str">
        <f>Matrix!D15</f>
        <v>Generic 
(Basis-Typ)</v>
      </c>
      <c r="E6" s="46" t="str">
        <f ca="1">Matrix!E15</f>
        <v>DE.N.SFH.05.Gen</v>
      </c>
      <c r="F6" s="46" t="str">
        <f ca="1">Matrix!F15</f>
        <v>DE.N.TH.05.Gen</v>
      </c>
      <c r="G6" s="46" t="str">
        <f ca="1">Matrix!G15</f>
        <v>DE.N.MFH.05.Gen</v>
      </c>
      <c r="H6" s="46" t="str">
        <f ca="1">Matrix!H15</f>
        <v>DE.N.AB.05.Gen</v>
      </c>
      <c r="I6" s="47" t="str">
        <f ca="1">Matrix!J15</f>
        <v>DE</v>
      </c>
      <c r="J6" s="46" t="str">
        <f>Matrix!K15</f>
        <v>N</v>
      </c>
      <c r="K6" s="46" t="str">
        <f>Matrix!L15</f>
        <v>National</v>
      </c>
      <c r="L6" s="46" t="str">
        <f>Matrix!M15</f>
        <v>nicht regional spezifiziert</v>
      </c>
      <c r="M6" s="46">
        <f>Matrix!N15</f>
        <v>5</v>
      </c>
      <c r="N6" s="46">
        <f>Matrix!O15</f>
        <v>1958</v>
      </c>
      <c r="O6" s="46">
        <f>Matrix!P15</f>
        <v>1968</v>
      </c>
      <c r="P6" s="46" t="str">
        <f>Matrix!Q15</f>
        <v>Gen</v>
      </c>
      <c r="Q6" s="46" t="str">
        <f>Matrix!R15</f>
        <v>Generic</v>
      </c>
      <c r="R6" s="46" t="str">
        <f>Matrix!S15</f>
        <v>Basis-Typ</v>
      </c>
      <c r="S6" s="46">
        <f>Matrix!T15</f>
        <v>0</v>
      </c>
      <c r="T6" s="46">
        <f>Matrix!U15</f>
        <v>0</v>
      </c>
      <c r="U6" s="47" t="str">
        <f>Matrix!W15</f>
        <v>ReEx.001</v>
      </c>
      <c r="V6" s="46" t="str">
        <f>Matrix!X15</f>
        <v>ReEx.001</v>
      </c>
      <c r="W6" s="46" t="str">
        <f>Matrix!Y15</f>
        <v>ReEx.001</v>
      </c>
      <c r="X6" s="46" t="str">
        <f>Matrix!Z15</f>
        <v>ReEx.001</v>
      </c>
      <c r="Y6" s="48" t="s">
        <v>253</v>
      </c>
      <c r="Z6" s="48" t="str">
        <f t="shared" si="0"/>
        <v>EFH_E</v>
      </c>
      <c r="AA6" s="48" t="str">
        <f t="shared" si="1"/>
        <v>RH_E</v>
      </c>
      <c r="AB6" s="48" t="str">
        <f t="shared" si="2"/>
        <v>MFH_E</v>
      </c>
      <c r="AC6" s="48" t="str">
        <f t="shared" si="3"/>
        <v>GMH_E</v>
      </c>
      <c r="AD6" s="52">
        <v>45751</v>
      </c>
    </row>
    <row r="7" spans="1:30">
      <c r="A7" s="50">
        <f ca="1">Matrix!A16</f>
        <v>6</v>
      </c>
      <c r="B7" s="46" t="str">
        <f>Matrix!B16</f>
        <v>National 
(nicht regional spezifiziert)</v>
      </c>
      <c r="C7" s="46" t="str">
        <f>Matrix!C16</f>
        <v>1969 ... 1978</v>
      </c>
      <c r="D7" s="46" t="str">
        <f>Matrix!D16</f>
        <v>Generic 
(Basis-Typ)</v>
      </c>
      <c r="E7" s="46" t="str">
        <f ca="1">Matrix!E16</f>
        <v>DE.N.SFH.06.Gen</v>
      </c>
      <c r="F7" s="46" t="str">
        <f ca="1">Matrix!F16</f>
        <v>DE.N.TH.06.Gen</v>
      </c>
      <c r="G7" s="46" t="str">
        <f ca="1">Matrix!G16</f>
        <v>DE.N.MFH.06.Gen</v>
      </c>
      <c r="H7" s="46" t="str">
        <f ca="1">Matrix!H16</f>
        <v>DE.N.AB.06.Gen</v>
      </c>
      <c r="I7" s="47" t="str">
        <f ca="1">Matrix!J16</f>
        <v>DE</v>
      </c>
      <c r="J7" s="46" t="str">
        <f>Matrix!K16</f>
        <v>N</v>
      </c>
      <c r="K7" s="46" t="str">
        <f>Matrix!L16</f>
        <v>National</v>
      </c>
      <c r="L7" s="46" t="str">
        <f>Matrix!M16</f>
        <v>nicht regional spezifiziert</v>
      </c>
      <c r="M7" s="46">
        <f>Matrix!N16</f>
        <v>6</v>
      </c>
      <c r="N7" s="46">
        <f>Matrix!O16</f>
        <v>1969</v>
      </c>
      <c r="O7" s="46">
        <f>Matrix!P16</f>
        <v>1978</v>
      </c>
      <c r="P7" s="46" t="str">
        <f>Matrix!Q16</f>
        <v>Gen</v>
      </c>
      <c r="Q7" s="46" t="str">
        <f>Matrix!R16</f>
        <v>Generic</v>
      </c>
      <c r="R7" s="46" t="str">
        <f>Matrix!S16</f>
        <v>Basis-Typ</v>
      </c>
      <c r="S7" s="46">
        <f>Matrix!T16</f>
        <v>0</v>
      </c>
      <c r="T7" s="46">
        <f>Matrix!U16</f>
        <v>0</v>
      </c>
      <c r="U7" s="47" t="str">
        <f>Matrix!W16</f>
        <v>ReEx.001</v>
      </c>
      <c r="V7" s="46" t="str">
        <f>Matrix!X16</f>
        <v>ReEx.001</v>
      </c>
      <c r="W7" s="46" t="str">
        <f>Matrix!Y16</f>
        <v>ReEx.001</v>
      </c>
      <c r="X7" s="46" t="str">
        <f>Matrix!Z16</f>
        <v>ReEx.001</v>
      </c>
      <c r="Y7" s="48" t="s">
        <v>254</v>
      </c>
      <c r="Z7" s="48" t="str">
        <f t="shared" si="0"/>
        <v>EFH_F</v>
      </c>
      <c r="AA7" s="48" t="str">
        <f t="shared" si="1"/>
        <v>RH_F</v>
      </c>
      <c r="AB7" s="48" t="str">
        <f t="shared" si="2"/>
        <v>MFH_F</v>
      </c>
      <c r="AC7" s="48" t="str">
        <f t="shared" si="3"/>
        <v>GMH_F</v>
      </c>
      <c r="AD7" s="52">
        <v>45751</v>
      </c>
    </row>
    <row r="8" spans="1:30">
      <c r="A8" s="50">
        <f ca="1">Matrix!A17</f>
        <v>7</v>
      </c>
      <c r="B8" s="46" t="str">
        <f>Matrix!B17</f>
        <v>National 
(nicht regional spezifiziert)</v>
      </c>
      <c r="C8" s="46" t="str">
        <f>Matrix!C17</f>
        <v>1979 ... 1983</v>
      </c>
      <c r="D8" s="46" t="str">
        <f>Matrix!D17</f>
        <v>Generic 
(Basis-Typ)</v>
      </c>
      <c r="E8" s="46" t="str">
        <f ca="1">Matrix!E17</f>
        <v>DE.N.SFH.07.Gen</v>
      </c>
      <c r="F8" s="46" t="str">
        <f ca="1">Matrix!F17</f>
        <v>DE.N.TH.07.Gen</v>
      </c>
      <c r="G8" s="46" t="str">
        <f ca="1">Matrix!G17</f>
        <v>DE.N.MFH.07.Gen</v>
      </c>
      <c r="H8" s="46" t="str">
        <f>Matrix!H17</f>
        <v/>
      </c>
      <c r="I8" s="47" t="str">
        <f ca="1">Matrix!J17</f>
        <v>DE</v>
      </c>
      <c r="J8" s="46" t="str">
        <f>Matrix!K17</f>
        <v>N</v>
      </c>
      <c r="K8" s="46" t="str">
        <f>Matrix!L17</f>
        <v>National</v>
      </c>
      <c r="L8" s="46" t="str">
        <f>Matrix!M17</f>
        <v>nicht regional spezifiziert</v>
      </c>
      <c r="M8" s="46">
        <f>Matrix!N17</f>
        <v>7</v>
      </c>
      <c r="N8" s="46">
        <f>Matrix!O17</f>
        <v>1979</v>
      </c>
      <c r="O8" s="46">
        <f>Matrix!P17</f>
        <v>1983</v>
      </c>
      <c r="P8" s="46" t="str">
        <f>Matrix!Q17</f>
        <v>Gen</v>
      </c>
      <c r="Q8" s="46" t="str">
        <f>Matrix!R17</f>
        <v>Generic</v>
      </c>
      <c r="R8" s="46" t="str">
        <f>Matrix!S17</f>
        <v>Basis-Typ</v>
      </c>
      <c r="S8" s="46">
        <f>Matrix!T17</f>
        <v>0</v>
      </c>
      <c r="T8" s="46">
        <f>Matrix!U17</f>
        <v>0</v>
      </c>
      <c r="U8" s="47" t="str">
        <f>Matrix!W17</f>
        <v>ReEx.001</v>
      </c>
      <c r="V8" s="46" t="str">
        <f>Matrix!X17</f>
        <v>ReEx.001</v>
      </c>
      <c r="W8" s="46" t="str">
        <f>Matrix!Y17</f>
        <v>ReEx.001</v>
      </c>
      <c r="X8" s="46">
        <f>Matrix!Z17</f>
        <v>0</v>
      </c>
      <c r="Y8" s="48" t="s">
        <v>255</v>
      </c>
      <c r="Z8" s="48" t="str">
        <f t="shared" si="0"/>
        <v>EFH_G</v>
      </c>
      <c r="AA8" s="48" t="str">
        <f t="shared" si="1"/>
        <v>RH_G</v>
      </c>
      <c r="AB8" s="48" t="str">
        <f t="shared" si="2"/>
        <v>MFH_G</v>
      </c>
      <c r="AC8" s="48" t="str">
        <f t="shared" si="3"/>
        <v>GMH_G</v>
      </c>
      <c r="AD8" s="52">
        <v>45751</v>
      </c>
    </row>
    <row r="9" spans="1:30">
      <c r="A9" s="50">
        <f ca="1">Matrix!A18</f>
        <v>8</v>
      </c>
      <c r="B9" s="46" t="str">
        <f>Matrix!B18</f>
        <v>National 
(nicht regional spezifiziert)</v>
      </c>
      <c r="C9" s="46" t="str">
        <f>Matrix!C18</f>
        <v>1984 ... 1994</v>
      </c>
      <c r="D9" s="46" t="str">
        <f>Matrix!D18</f>
        <v>Generic 
(Basis-Typ)</v>
      </c>
      <c r="E9" s="46" t="str">
        <f ca="1">Matrix!E18</f>
        <v>DE.N.SFH.08.Gen</v>
      </c>
      <c r="F9" s="46" t="str">
        <f ca="1">Matrix!F18</f>
        <v>DE.N.TH.08.Gen</v>
      </c>
      <c r="G9" s="46" t="str">
        <f ca="1">Matrix!G18</f>
        <v>DE.N.MFH.08.Gen</v>
      </c>
      <c r="H9" s="46" t="str">
        <f>Matrix!H18</f>
        <v/>
      </c>
      <c r="I9" s="47" t="str">
        <f ca="1">Matrix!J18</f>
        <v>DE</v>
      </c>
      <c r="J9" s="46" t="str">
        <f>Matrix!K18</f>
        <v>N</v>
      </c>
      <c r="K9" s="46" t="str">
        <f>Matrix!L18</f>
        <v>National</v>
      </c>
      <c r="L9" s="46" t="str">
        <f>Matrix!M18</f>
        <v>nicht regional spezifiziert</v>
      </c>
      <c r="M9" s="46">
        <f>Matrix!N18</f>
        <v>8</v>
      </c>
      <c r="N9" s="46">
        <f>Matrix!O18</f>
        <v>1984</v>
      </c>
      <c r="O9" s="46">
        <f>Matrix!P18</f>
        <v>1994</v>
      </c>
      <c r="P9" s="46" t="str">
        <f>Matrix!Q18</f>
        <v>Gen</v>
      </c>
      <c r="Q9" s="46" t="str">
        <f>Matrix!R18</f>
        <v>Generic</v>
      </c>
      <c r="R9" s="46" t="str">
        <f>Matrix!S18</f>
        <v>Basis-Typ</v>
      </c>
      <c r="S9" s="46">
        <f>Matrix!T18</f>
        <v>0</v>
      </c>
      <c r="T9" s="46">
        <f>Matrix!U18</f>
        <v>0</v>
      </c>
      <c r="U9" s="47" t="str">
        <f>Matrix!W18</f>
        <v>ReEx.001</v>
      </c>
      <c r="V9" s="46" t="str">
        <f>Matrix!X18</f>
        <v>ReEx.001</v>
      </c>
      <c r="W9" s="46" t="str">
        <f>Matrix!Y18</f>
        <v>ReEx.001</v>
      </c>
      <c r="X9" s="46">
        <f>Matrix!Z18</f>
        <v>0</v>
      </c>
      <c r="Y9" s="48" t="s">
        <v>256</v>
      </c>
      <c r="Z9" s="48" t="str">
        <f t="shared" si="0"/>
        <v>EFH_H</v>
      </c>
      <c r="AA9" s="48" t="str">
        <f t="shared" si="1"/>
        <v>RH_H</v>
      </c>
      <c r="AB9" s="48" t="str">
        <f t="shared" si="2"/>
        <v>MFH_H</v>
      </c>
      <c r="AC9" s="48" t="str">
        <f t="shared" si="3"/>
        <v>GMH_H</v>
      </c>
      <c r="AD9" s="52">
        <v>45751</v>
      </c>
    </row>
    <row r="10" spans="1:30">
      <c r="A10" s="50">
        <f ca="1">Matrix!A19</f>
        <v>9</v>
      </c>
      <c r="B10" s="46" t="str">
        <f>Matrix!B19</f>
        <v>National 
(nicht regional spezifiziert)</v>
      </c>
      <c r="C10" s="46" t="str">
        <f>Matrix!C19</f>
        <v>1995 ... 2001</v>
      </c>
      <c r="D10" s="46" t="str">
        <f>Matrix!D19</f>
        <v>Generic 
(Basis-Typ)</v>
      </c>
      <c r="E10" s="46" t="str">
        <f ca="1">Matrix!E19</f>
        <v>DE.N.SFH.09.Gen</v>
      </c>
      <c r="F10" s="46" t="str">
        <f ca="1">Matrix!F19</f>
        <v>DE.N.TH.09.Gen</v>
      </c>
      <c r="G10" s="46" t="str">
        <f ca="1">Matrix!G19</f>
        <v>DE.N.MFH.09.Gen</v>
      </c>
      <c r="H10" s="46" t="str">
        <f>Matrix!H19</f>
        <v/>
      </c>
      <c r="I10" s="47" t="str">
        <f ca="1">Matrix!J19</f>
        <v>DE</v>
      </c>
      <c r="J10" s="46" t="str">
        <f>Matrix!K19</f>
        <v>N</v>
      </c>
      <c r="K10" s="46" t="str">
        <f>Matrix!L19</f>
        <v>National</v>
      </c>
      <c r="L10" s="46" t="str">
        <f>Matrix!M19</f>
        <v>nicht regional spezifiziert</v>
      </c>
      <c r="M10" s="46">
        <f>Matrix!N19</f>
        <v>9</v>
      </c>
      <c r="N10" s="46">
        <f>Matrix!O19</f>
        <v>1995</v>
      </c>
      <c r="O10" s="46">
        <f>Matrix!P19</f>
        <v>2001</v>
      </c>
      <c r="P10" s="46" t="str">
        <f>Matrix!Q19</f>
        <v>Gen</v>
      </c>
      <c r="Q10" s="46" t="str">
        <f>Matrix!R19</f>
        <v>Generic</v>
      </c>
      <c r="R10" s="46" t="str">
        <f>Matrix!S19</f>
        <v>Basis-Typ</v>
      </c>
      <c r="S10" s="46">
        <f>Matrix!T19</f>
        <v>0</v>
      </c>
      <c r="T10" s="46">
        <f>Matrix!U19</f>
        <v>0</v>
      </c>
      <c r="U10" s="47" t="str">
        <f>Matrix!W19</f>
        <v>ReEx.001</v>
      </c>
      <c r="V10" s="46" t="str">
        <f>Matrix!X19</f>
        <v>ReEx.001</v>
      </c>
      <c r="W10" s="46" t="str">
        <f>Matrix!Y19</f>
        <v>ReEx.001</v>
      </c>
      <c r="X10" s="46">
        <f>Matrix!Z19</f>
        <v>0</v>
      </c>
      <c r="Y10" s="48" t="s">
        <v>257</v>
      </c>
      <c r="Z10" s="48" t="str">
        <f t="shared" si="0"/>
        <v>EFH_I</v>
      </c>
      <c r="AA10" s="48" t="str">
        <f t="shared" si="1"/>
        <v>RH_I</v>
      </c>
      <c r="AB10" s="48" t="str">
        <f t="shared" si="2"/>
        <v>MFH_I</v>
      </c>
      <c r="AC10" s="48" t="str">
        <f t="shared" si="3"/>
        <v>GMH_I</v>
      </c>
      <c r="AD10" s="52">
        <v>45751</v>
      </c>
    </row>
    <row r="11" spans="1:30">
      <c r="A11" s="50">
        <f ca="1">Matrix!A20</f>
        <v>10</v>
      </c>
      <c r="B11" s="46" t="str">
        <f>Matrix!B20</f>
        <v>National 
(nicht regional spezifiziert)</v>
      </c>
      <c r="C11" s="46" t="str">
        <f>Matrix!C20</f>
        <v>2002 ... 2009</v>
      </c>
      <c r="D11" s="46" t="str">
        <f>Matrix!D20</f>
        <v>Generic 
(Basis-Typ)</v>
      </c>
      <c r="E11" s="46" t="str">
        <f ca="1">Matrix!E20</f>
        <v>DE.N.SFH.10.Gen</v>
      </c>
      <c r="F11" s="46" t="str">
        <f ca="1">Matrix!F20</f>
        <v>DE.N.TH.10.Gen</v>
      </c>
      <c r="G11" s="46" t="str">
        <f ca="1">Matrix!G20</f>
        <v>DE.N.MFH.10.Gen</v>
      </c>
      <c r="H11" s="46" t="str">
        <f>Matrix!H20</f>
        <v/>
      </c>
      <c r="I11" s="47" t="str">
        <f ca="1">Matrix!J20</f>
        <v>DE</v>
      </c>
      <c r="J11" s="46" t="str">
        <f>Matrix!K20</f>
        <v>N</v>
      </c>
      <c r="K11" s="46" t="str">
        <f>Matrix!L20</f>
        <v>National</v>
      </c>
      <c r="L11" s="46" t="str">
        <f>Matrix!M20</f>
        <v>nicht regional spezifiziert</v>
      </c>
      <c r="M11" s="46">
        <f>Matrix!N20</f>
        <v>10</v>
      </c>
      <c r="N11" s="46">
        <f>Matrix!O20</f>
        <v>2002</v>
      </c>
      <c r="O11" s="46">
        <f>Matrix!P20</f>
        <v>2009</v>
      </c>
      <c r="P11" s="46" t="str">
        <f>Matrix!Q20</f>
        <v>Gen</v>
      </c>
      <c r="Q11" s="46" t="str">
        <f>Matrix!R20</f>
        <v>Generic</v>
      </c>
      <c r="R11" s="46" t="str">
        <f>Matrix!S20</f>
        <v>Basis-Typ</v>
      </c>
      <c r="S11" s="46">
        <f>Matrix!T20</f>
        <v>0</v>
      </c>
      <c r="T11" s="46">
        <f>Matrix!U20</f>
        <v>0</v>
      </c>
      <c r="U11" s="47" t="str">
        <f>Matrix!W20</f>
        <v>ReEx.001</v>
      </c>
      <c r="V11" s="46" t="str">
        <f>Matrix!X20</f>
        <v>ReEx.001</v>
      </c>
      <c r="W11" s="46" t="str">
        <f>Matrix!Y20</f>
        <v>ReEx.001</v>
      </c>
      <c r="X11" s="46">
        <f>Matrix!Z20</f>
        <v>0</v>
      </c>
      <c r="Y11" s="48" t="s">
        <v>258</v>
      </c>
      <c r="Z11" s="48" t="str">
        <f t="shared" si="0"/>
        <v>EFH_J</v>
      </c>
      <c r="AA11" s="48" t="str">
        <f t="shared" si="1"/>
        <v>RH_J</v>
      </c>
      <c r="AB11" s="48" t="str">
        <f t="shared" si="2"/>
        <v>MFH_J</v>
      </c>
      <c r="AC11" s="48" t="str">
        <f t="shared" si="3"/>
        <v>GMH_J</v>
      </c>
      <c r="AD11" s="52">
        <v>45751</v>
      </c>
    </row>
    <row r="12" spans="1:30">
      <c r="A12" s="50">
        <f ca="1">Matrix!A21</f>
        <v>11</v>
      </c>
      <c r="B12" s="46" t="str">
        <f>Matrix!B21</f>
        <v>National 
(nicht regional spezifiziert)</v>
      </c>
      <c r="C12" s="46" t="str">
        <f>Matrix!C21</f>
        <v>2010 ... 2015</v>
      </c>
      <c r="D12" s="46" t="str">
        <f>Matrix!D21</f>
        <v>Generic 
(Basis-Typ)</v>
      </c>
      <c r="E12" s="46" t="str">
        <f ca="1">Matrix!E21</f>
        <v>DE.N.SFH.11.Gen</v>
      </c>
      <c r="F12" s="46" t="str">
        <f ca="1">Matrix!F21</f>
        <v>DE.N.TH.11.Gen</v>
      </c>
      <c r="G12" s="46" t="str">
        <f ca="1">Matrix!G21</f>
        <v>DE.N.MFH.11.Gen</v>
      </c>
      <c r="H12" s="46" t="str">
        <f>Matrix!H21</f>
        <v/>
      </c>
      <c r="I12" s="47" t="str">
        <f ca="1">Matrix!J21</f>
        <v>DE</v>
      </c>
      <c r="J12" s="46" t="str">
        <f>Matrix!K21</f>
        <v>N</v>
      </c>
      <c r="K12" s="46" t="str">
        <f>Matrix!L21</f>
        <v>National</v>
      </c>
      <c r="L12" s="46" t="str">
        <f>Matrix!M21</f>
        <v>nicht regional spezifiziert</v>
      </c>
      <c r="M12" s="46">
        <f>Matrix!N21</f>
        <v>11</v>
      </c>
      <c r="N12" s="46">
        <f>Matrix!O21</f>
        <v>2010</v>
      </c>
      <c r="O12" s="46">
        <f>Matrix!P21</f>
        <v>2015</v>
      </c>
      <c r="P12" s="46" t="str">
        <f>Matrix!Q21</f>
        <v>Gen</v>
      </c>
      <c r="Q12" s="46" t="str">
        <f>Matrix!R21</f>
        <v>Generic</v>
      </c>
      <c r="R12" s="46" t="str">
        <f>Matrix!S21</f>
        <v>Basis-Typ</v>
      </c>
      <c r="S12" s="46">
        <f>Matrix!T21</f>
        <v>0</v>
      </c>
      <c r="T12" s="46">
        <f>Matrix!U21</f>
        <v>0</v>
      </c>
      <c r="U12" s="47" t="str">
        <f>Matrix!W21</f>
        <v>ReEx.001</v>
      </c>
      <c r="V12" s="46" t="str">
        <f>Matrix!X21</f>
        <v>ReEx.001</v>
      </c>
      <c r="W12" s="46" t="str">
        <f>Matrix!Y21</f>
        <v>ReEx.001</v>
      </c>
      <c r="X12" s="46">
        <f>Matrix!Z21</f>
        <v>0</v>
      </c>
      <c r="Y12" s="48" t="s">
        <v>259</v>
      </c>
      <c r="Z12" s="48" t="str">
        <f t="shared" si="0"/>
        <v>EFH_K</v>
      </c>
      <c r="AA12" s="48" t="str">
        <f t="shared" si="1"/>
        <v>RH_K</v>
      </c>
      <c r="AB12" s="48" t="str">
        <f t="shared" si="2"/>
        <v>MFH_K</v>
      </c>
      <c r="AC12" s="48" t="str">
        <f t="shared" si="3"/>
        <v>GMH_K</v>
      </c>
      <c r="AD12" s="52">
        <v>45751</v>
      </c>
    </row>
    <row r="13" spans="1:30">
      <c r="A13" s="50">
        <f ca="1">Matrix!A22</f>
        <v>12</v>
      </c>
      <c r="B13" s="46" t="str">
        <f>Matrix!B22</f>
        <v>National 
(nicht regional spezifiziert)</v>
      </c>
      <c r="C13" s="48" t="s">
        <v>264</v>
      </c>
      <c r="D13" s="46" t="str">
        <f>Matrix!D22</f>
        <v>Generic 
(Basis-Typ)</v>
      </c>
      <c r="E13" s="46" t="str">
        <f ca="1">Matrix!E22</f>
        <v>DE.N.SFH.12.Gen</v>
      </c>
      <c r="F13" s="46" t="str">
        <f ca="1">Matrix!F22</f>
        <v>DE.N.TH.12.Gen</v>
      </c>
      <c r="G13" s="46" t="str">
        <f ca="1">Matrix!G22</f>
        <v>DE.N.MFH.12.Gen</v>
      </c>
      <c r="H13" s="46" t="str">
        <f>Matrix!H22</f>
        <v/>
      </c>
      <c r="I13" s="47" t="str">
        <f ca="1">Matrix!J22</f>
        <v>DE</v>
      </c>
      <c r="J13" s="46" t="str">
        <f>Matrix!K22</f>
        <v>N</v>
      </c>
      <c r="K13" s="46" t="str">
        <f>Matrix!L22</f>
        <v>National</v>
      </c>
      <c r="L13" s="46" t="str">
        <f>Matrix!M22</f>
        <v>nicht regional spezifiziert</v>
      </c>
      <c r="M13" s="46">
        <f>Matrix!N22</f>
        <v>12</v>
      </c>
      <c r="N13" s="46">
        <f>Matrix!O22</f>
        <v>2016</v>
      </c>
      <c r="O13" s="46">
        <v>2022</v>
      </c>
      <c r="P13" s="46" t="str">
        <f>Matrix!Q22</f>
        <v>Gen</v>
      </c>
      <c r="Q13" s="46" t="str">
        <f>Matrix!R22</f>
        <v>Generic</v>
      </c>
      <c r="R13" s="46" t="str">
        <f>Matrix!S22</f>
        <v>Basis-Typ</v>
      </c>
      <c r="S13" s="46">
        <f>Matrix!T22</f>
        <v>0</v>
      </c>
      <c r="T13" s="46">
        <f>Matrix!U22</f>
        <v>0</v>
      </c>
      <c r="U13" s="47" t="str">
        <f>Matrix!W22</f>
        <v>ReEx.001</v>
      </c>
      <c r="V13" s="46" t="str">
        <f>Matrix!X22</f>
        <v>ReEx.001</v>
      </c>
      <c r="W13" s="46" t="str">
        <f>Matrix!Y22</f>
        <v>ReEx.001</v>
      </c>
      <c r="X13" s="46">
        <f>Matrix!Z22</f>
        <v>0</v>
      </c>
      <c r="Y13" s="48" t="s">
        <v>260</v>
      </c>
      <c r="Z13" s="48" t="str">
        <f t="shared" si="0"/>
        <v>EFH_L</v>
      </c>
      <c r="AA13" s="48" t="str">
        <f t="shared" si="1"/>
        <v>RH_L</v>
      </c>
      <c r="AB13" s="48" t="str">
        <f t="shared" si="2"/>
        <v>MFH_L</v>
      </c>
      <c r="AC13" s="48" t="str">
        <f t="shared" si="3"/>
        <v>GMH_L</v>
      </c>
      <c r="AD13" s="52">
        <v>45751</v>
      </c>
    </row>
    <row r="14" spans="1:30" s="49" customFormat="1">
      <c r="A14" s="51">
        <v>13</v>
      </c>
      <c r="B14" s="48" t="s">
        <v>262</v>
      </c>
      <c r="C14" s="48" t="s">
        <v>265</v>
      </c>
      <c r="D14" s="48" t="s">
        <v>263</v>
      </c>
      <c r="E14" s="48" t="s">
        <v>266</v>
      </c>
      <c r="F14" s="48" t="s">
        <v>267</v>
      </c>
      <c r="G14" s="48" t="s">
        <v>268</v>
      </c>
      <c r="H14" s="48" t="s">
        <v>244</v>
      </c>
      <c r="I14" s="48" t="s">
        <v>225</v>
      </c>
      <c r="J14" s="48" t="s">
        <v>60</v>
      </c>
      <c r="K14" s="48" t="s">
        <v>226</v>
      </c>
      <c r="L14" s="48" t="s">
        <v>227</v>
      </c>
      <c r="M14" s="48">
        <v>13</v>
      </c>
      <c r="N14" s="48">
        <v>2023</v>
      </c>
      <c r="O14" s="48">
        <v>9999</v>
      </c>
      <c r="P14" s="48" t="s">
        <v>228</v>
      </c>
      <c r="Q14" s="48" t="s">
        <v>229</v>
      </c>
      <c r="R14" s="48" t="s">
        <v>230</v>
      </c>
      <c r="S14" s="48">
        <v>0</v>
      </c>
      <c r="T14" s="48">
        <v>0</v>
      </c>
      <c r="U14" s="48" t="s">
        <v>231</v>
      </c>
      <c r="V14" s="48" t="s">
        <v>231</v>
      </c>
      <c r="W14" s="48" t="s">
        <v>231</v>
      </c>
      <c r="X14" s="48">
        <v>0</v>
      </c>
      <c r="Y14" s="48" t="s">
        <v>261</v>
      </c>
      <c r="Z14" s="48" t="str">
        <f t="shared" si="0"/>
        <v>EFH_M</v>
      </c>
      <c r="AA14" s="48" t="str">
        <f t="shared" si="1"/>
        <v>RH_M</v>
      </c>
      <c r="AB14" s="48" t="str">
        <f t="shared" si="2"/>
        <v>MFH_M</v>
      </c>
      <c r="AC14" s="48" t="str">
        <f t="shared" si="3"/>
        <v>GMH_M</v>
      </c>
      <c r="AD14" s="52">
        <v>45751</v>
      </c>
    </row>
    <row r="15" spans="1:30" s="43" customFormat="1">
      <c r="A15" s="51">
        <v>14</v>
      </c>
      <c r="B15" s="47" t="str">
        <f>Matrix!B23</f>
        <v>National 
(nicht regional spezifiziert)</v>
      </c>
      <c r="C15" s="47" t="str">
        <f>Matrix!C23</f>
        <v>1969 ... 1978</v>
      </c>
      <c r="D15" s="47" t="str">
        <f>Matrix!D23</f>
        <v>Light Frame Structure 
(Fertighaus / Leichtbau)</v>
      </c>
      <c r="E15" s="47" t="str">
        <f ca="1">Matrix!E23</f>
        <v>DE.N.SFH.06.LightFrame</v>
      </c>
      <c r="F15" s="47" t="str">
        <f>Matrix!F23</f>
        <v/>
      </c>
      <c r="G15" s="47" t="str">
        <f>Matrix!G23</f>
        <v/>
      </c>
      <c r="H15" s="47" t="str">
        <f>Matrix!H23</f>
        <v/>
      </c>
      <c r="I15" s="47" t="str">
        <f ca="1">Matrix!J23</f>
        <v>DE</v>
      </c>
      <c r="J15" s="47" t="str">
        <f>Matrix!K23</f>
        <v>N</v>
      </c>
      <c r="K15" s="47" t="str">
        <f>Matrix!L23</f>
        <v>National</v>
      </c>
      <c r="L15" s="47" t="str">
        <f>Matrix!M23</f>
        <v>nicht regional spezifiziert</v>
      </c>
      <c r="M15" s="47">
        <f>Matrix!N23</f>
        <v>6</v>
      </c>
      <c r="N15" s="47">
        <f>Matrix!O23</f>
        <v>1969</v>
      </c>
      <c r="O15" s="47">
        <f>Matrix!P23</f>
        <v>1978</v>
      </c>
      <c r="P15" s="47" t="str">
        <f>Matrix!Q23</f>
        <v>LightFrame</v>
      </c>
      <c r="Q15" s="47" t="str">
        <f>Matrix!R23</f>
        <v>Light Frame Structure</v>
      </c>
      <c r="R15" s="47" t="str">
        <f>Matrix!S23</f>
        <v>Fertighaus / Leichtbau</v>
      </c>
      <c r="S15" s="47" t="str">
        <f>Matrix!T23</f>
        <v>light frame structure: prefabricated building, constructed by use of wooden frames, insulation, and plasterboards / wooden boards</v>
      </c>
      <c r="T15" s="47">
        <f>Matrix!U23</f>
        <v>0</v>
      </c>
      <c r="U15" s="47" t="str">
        <f>Matrix!W23</f>
        <v>ReEx.001</v>
      </c>
      <c r="V15" s="47">
        <f>Matrix!X23</f>
        <v>0</v>
      </c>
      <c r="W15" s="47">
        <f>Matrix!Y23</f>
        <v>0</v>
      </c>
      <c r="X15" s="47">
        <f>Matrix!Z23</f>
        <v>0</v>
      </c>
      <c r="Y15" s="48" t="s">
        <v>254</v>
      </c>
      <c r="Z15" s="48" t="s">
        <v>269</v>
      </c>
      <c r="AA15" s="47"/>
      <c r="AB15" s="47"/>
      <c r="AC15" s="47"/>
      <c r="AD15" s="52">
        <v>45751</v>
      </c>
    </row>
    <row r="16" spans="1:30">
      <c r="A16" s="51">
        <v>15</v>
      </c>
      <c r="B16" s="46" t="str">
        <f>Matrix!B24</f>
        <v>National 
(nicht regional spezifiziert)</v>
      </c>
      <c r="C16" s="46" t="str">
        <f>Matrix!C24</f>
        <v>1958 ... 1968</v>
      </c>
      <c r="D16" s="46" t="str">
        <f>Matrix!D24</f>
        <v>High-Rise Building 
(Hochhaus)</v>
      </c>
      <c r="E16" s="46" t="str">
        <f>Matrix!E24</f>
        <v/>
      </c>
      <c r="F16" s="46" t="str">
        <f>Matrix!F24</f>
        <v/>
      </c>
      <c r="G16" s="46" t="str">
        <f>Matrix!G24</f>
        <v/>
      </c>
      <c r="H16" s="46" t="str">
        <f ca="1">Matrix!H24</f>
        <v>DE.N.AB.05.HR</v>
      </c>
      <c r="I16" s="47" t="str">
        <f ca="1">Matrix!J24</f>
        <v>DE</v>
      </c>
      <c r="J16" s="46" t="str">
        <f>Matrix!K24</f>
        <v>N</v>
      </c>
      <c r="K16" s="46" t="str">
        <f>Matrix!L24</f>
        <v>National</v>
      </c>
      <c r="L16" s="46" t="str">
        <f>Matrix!M24</f>
        <v>nicht regional spezifiziert</v>
      </c>
      <c r="M16" s="46">
        <f>Matrix!N24</f>
        <v>5</v>
      </c>
      <c r="N16" s="46">
        <f>Matrix!O24</f>
        <v>1958</v>
      </c>
      <c r="O16" s="46">
        <f>Matrix!P24</f>
        <v>1968</v>
      </c>
      <c r="P16" s="46" t="str">
        <f>Matrix!Q24</f>
        <v>HR</v>
      </c>
      <c r="Q16" s="46" t="str">
        <f>Matrix!R24</f>
        <v>High-Rise Building</v>
      </c>
      <c r="R16" s="46" t="str">
        <f>Matrix!S24</f>
        <v>Hochhaus</v>
      </c>
      <c r="S16" s="46" t="str">
        <f>Matrix!T24</f>
        <v>Western Germany</v>
      </c>
      <c r="T16" s="46">
        <f>Matrix!U24</f>
        <v>0</v>
      </c>
      <c r="U16" s="47">
        <f>Matrix!W24</f>
        <v>0</v>
      </c>
      <c r="V16" s="46">
        <f>Matrix!X24</f>
        <v>0</v>
      </c>
      <c r="W16" s="46">
        <f>Matrix!Y24</f>
        <v>0</v>
      </c>
      <c r="X16" s="46" t="str">
        <f>Matrix!Z24</f>
        <v>ReEx.001</v>
      </c>
      <c r="Y16" s="48" t="s">
        <v>253</v>
      </c>
      <c r="Z16" s="48" t="s">
        <v>244</v>
      </c>
      <c r="AA16" s="48"/>
      <c r="AB16" s="48"/>
      <c r="AC16" s="48" t="s">
        <v>270</v>
      </c>
      <c r="AD16" s="52">
        <v>45751</v>
      </c>
    </row>
    <row r="17" spans="1:30">
      <c r="A17" s="51">
        <v>16</v>
      </c>
      <c r="B17" s="46" t="str">
        <f>Matrix!B25</f>
        <v>National 
(nicht regional spezifiziert)</v>
      </c>
      <c r="C17" s="46" t="str">
        <f>Matrix!C25</f>
        <v>1969 ... 1978</v>
      </c>
      <c r="D17" s="46" t="str">
        <f>Matrix!D25</f>
        <v>High-Rise Building 
(Hochhaus)</v>
      </c>
      <c r="E17" s="46" t="str">
        <f>Matrix!E25</f>
        <v/>
      </c>
      <c r="F17" s="46" t="str">
        <f>Matrix!F25</f>
        <v/>
      </c>
      <c r="G17" s="46" t="str">
        <f>Matrix!G25</f>
        <v/>
      </c>
      <c r="H17" s="46" t="str">
        <f ca="1">Matrix!H25</f>
        <v>DE.N.AB.06.HR</v>
      </c>
      <c r="I17" s="47" t="str">
        <f ca="1">Matrix!J25</f>
        <v>DE</v>
      </c>
      <c r="J17" s="46" t="str">
        <f>Matrix!K25</f>
        <v>N</v>
      </c>
      <c r="K17" s="46" t="str">
        <f>Matrix!L25</f>
        <v>National</v>
      </c>
      <c r="L17" s="46" t="str">
        <f>Matrix!M25</f>
        <v>nicht regional spezifiziert</v>
      </c>
      <c r="M17" s="46">
        <f>Matrix!N25</f>
        <v>6</v>
      </c>
      <c r="N17" s="46">
        <f>Matrix!O25</f>
        <v>1969</v>
      </c>
      <c r="O17" s="46">
        <f>Matrix!P25</f>
        <v>1978</v>
      </c>
      <c r="P17" s="46" t="str">
        <f>Matrix!Q25</f>
        <v>HR</v>
      </c>
      <c r="Q17" s="46" t="str">
        <f>Matrix!R25</f>
        <v>High-Rise Building</v>
      </c>
      <c r="R17" s="46" t="str">
        <f>Matrix!S25</f>
        <v>Hochhaus</v>
      </c>
      <c r="S17" s="46" t="str">
        <f>Matrix!T25</f>
        <v>Western Germany</v>
      </c>
      <c r="T17" s="46">
        <f>Matrix!U25</f>
        <v>0</v>
      </c>
      <c r="U17" s="47">
        <f>Matrix!W25</f>
        <v>0</v>
      </c>
      <c r="V17" s="46">
        <f>Matrix!X25</f>
        <v>0</v>
      </c>
      <c r="W17" s="46">
        <f>Matrix!Y25</f>
        <v>0</v>
      </c>
      <c r="X17" s="46" t="str">
        <f>Matrix!Z25</f>
        <v>ReEx.001</v>
      </c>
      <c r="Y17" s="48" t="s">
        <v>254</v>
      </c>
      <c r="Z17" s="48" t="s">
        <v>244</v>
      </c>
      <c r="AA17" s="48"/>
      <c r="AB17" s="48"/>
      <c r="AC17" s="48" t="s">
        <v>271</v>
      </c>
      <c r="AD17" s="52">
        <v>45751</v>
      </c>
    </row>
    <row r="18" spans="1:30">
      <c r="A18" s="51">
        <v>17</v>
      </c>
      <c r="B18" s="46" t="str">
        <f>Matrix!B26</f>
        <v>Eastern Germany / former GDR 
(neue Bundesländer)</v>
      </c>
      <c r="C18" s="46" t="str">
        <f>Matrix!C26</f>
        <v>1949 ... 1957</v>
      </c>
      <c r="D18" s="46" t="str">
        <f>Matrix!D26</f>
        <v>Generic 
(Basis-Typ)</v>
      </c>
      <c r="E18" s="46" t="str">
        <f>Matrix!E26</f>
        <v/>
      </c>
      <c r="F18" s="46" t="str">
        <f>Matrix!F26</f>
        <v/>
      </c>
      <c r="G18" s="46" t="str">
        <f ca="1">Matrix!G26</f>
        <v>DE.East.MFH.04.Gen</v>
      </c>
      <c r="H18" s="46" t="str">
        <f>Matrix!H26</f>
        <v/>
      </c>
      <c r="I18" s="47" t="str">
        <f ca="1">Matrix!J26</f>
        <v>DE</v>
      </c>
      <c r="J18" s="46" t="str">
        <f>Matrix!K26</f>
        <v>East</v>
      </c>
      <c r="K18" s="46" t="str">
        <f>Matrix!L26</f>
        <v>Eastern Germany / former GDR</v>
      </c>
      <c r="L18" s="46" t="str">
        <f>Matrix!M26</f>
        <v>neue Bundesländer</v>
      </c>
      <c r="M18" s="46">
        <f>Matrix!N26</f>
        <v>4</v>
      </c>
      <c r="N18" s="46">
        <f>Matrix!O26</f>
        <v>1949</v>
      </c>
      <c r="O18" s="46">
        <f>Matrix!P26</f>
        <v>1957</v>
      </c>
      <c r="P18" s="46" t="str">
        <f>Matrix!Q26</f>
        <v>Gen</v>
      </c>
      <c r="Q18" s="46" t="str">
        <f>Matrix!R26</f>
        <v>Generic</v>
      </c>
      <c r="R18" s="46" t="str">
        <f>Matrix!S26</f>
        <v>Basis-Typ</v>
      </c>
      <c r="S18" s="46" t="str">
        <f>Matrix!T26</f>
        <v>panel building (Plattenbau)</v>
      </c>
      <c r="T18" s="46">
        <f>Matrix!U26</f>
        <v>0</v>
      </c>
      <c r="U18" s="47">
        <f>Matrix!W26</f>
        <v>0</v>
      </c>
      <c r="V18" s="46">
        <f>Matrix!X26</f>
        <v>0</v>
      </c>
      <c r="W18" s="46" t="str">
        <f>Matrix!Y26</f>
        <v>ReEx.001</v>
      </c>
      <c r="X18" s="46">
        <f>Matrix!Z26</f>
        <v>0</v>
      </c>
      <c r="Y18" s="48" t="s">
        <v>252</v>
      </c>
      <c r="Z18" s="48" t="s">
        <v>244</v>
      </c>
      <c r="AA18" s="48" t="s">
        <v>244</v>
      </c>
      <c r="AB18" s="48" t="s">
        <v>272</v>
      </c>
      <c r="AC18" s="48" t="s">
        <v>244</v>
      </c>
      <c r="AD18" s="52">
        <v>45751</v>
      </c>
    </row>
    <row r="19" spans="1:30">
      <c r="A19" s="51">
        <v>18</v>
      </c>
      <c r="B19" s="46" t="str">
        <f>Matrix!B27</f>
        <v>Eastern Germany / former GDR 
(neue Bundesländer)</v>
      </c>
      <c r="C19" s="46" t="str">
        <f>Matrix!C27</f>
        <v>1958 ... 1968</v>
      </c>
      <c r="D19" s="46" t="str">
        <f>Matrix!D27</f>
        <v>Generic 
(Basis-Typ)</v>
      </c>
      <c r="E19" s="46" t="str">
        <f>Matrix!E27</f>
        <v/>
      </c>
      <c r="F19" s="46" t="str">
        <f>Matrix!F27</f>
        <v/>
      </c>
      <c r="G19" s="46" t="str">
        <f ca="1">Matrix!G27</f>
        <v>DE.East.MFH.05.Gen</v>
      </c>
      <c r="H19" s="46" t="str">
        <f>Matrix!H27</f>
        <v/>
      </c>
      <c r="I19" s="47" t="str">
        <f ca="1">Matrix!J27</f>
        <v>DE</v>
      </c>
      <c r="J19" s="46" t="str">
        <f>Matrix!K27</f>
        <v>East</v>
      </c>
      <c r="K19" s="46" t="str">
        <f>Matrix!L27</f>
        <v>Eastern Germany / former GDR</v>
      </c>
      <c r="L19" s="46" t="str">
        <f>Matrix!M27</f>
        <v>neue Bundesländer</v>
      </c>
      <c r="M19" s="46">
        <f>Matrix!N27</f>
        <v>5</v>
      </c>
      <c r="N19" s="46">
        <f>Matrix!O27</f>
        <v>1958</v>
      </c>
      <c r="O19" s="46">
        <f>Matrix!P27</f>
        <v>1968</v>
      </c>
      <c r="P19" s="46" t="str">
        <f>Matrix!Q27</f>
        <v>Gen</v>
      </c>
      <c r="Q19" s="46" t="str">
        <f>Matrix!R27</f>
        <v>Generic</v>
      </c>
      <c r="R19" s="46" t="str">
        <f>Matrix!S27</f>
        <v>Basis-Typ</v>
      </c>
      <c r="S19" s="46" t="str">
        <f>Matrix!T27</f>
        <v>panel building (Plattenbau)</v>
      </c>
      <c r="T19" s="46">
        <f>Matrix!U27</f>
        <v>0</v>
      </c>
      <c r="U19" s="47">
        <f>Matrix!W27</f>
        <v>0</v>
      </c>
      <c r="V19" s="46">
        <f>Matrix!X27</f>
        <v>0</v>
      </c>
      <c r="W19" s="46" t="str">
        <f>Matrix!Y27</f>
        <v>ReEx.001</v>
      </c>
      <c r="X19" s="46">
        <f>Matrix!Z27</f>
        <v>0</v>
      </c>
      <c r="Y19" s="48" t="s">
        <v>253</v>
      </c>
      <c r="Z19" s="48" t="s">
        <v>244</v>
      </c>
      <c r="AA19" s="48" t="s">
        <v>244</v>
      </c>
      <c r="AB19" s="48" t="s">
        <v>273</v>
      </c>
      <c r="AC19" s="48" t="s">
        <v>244</v>
      </c>
      <c r="AD19" s="52">
        <v>45751</v>
      </c>
    </row>
    <row r="20" spans="1:30">
      <c r="A20" s="51">
        <v>19</v>
      </c>
      <c r="B20" s="46" t="str">
        <f>Matrix!B28</f>
        <v>Eastern Germany / former GDR 
(neue Bundesländer)</v>
      </c>
      <c r="C20" s="46" t="str">
        <f>Matrix!C28</f>
        <v>1969 ... 1978</v>
      </c>
      <c r="D20" s="46" t="str">
        <f>Matrix!D28</f>
        <v>Generic 
(Basis-Typ)</v>
      </c>
      <c r="E20" s="46" t="str">
        <f>Matrix!E28</f>
        <v/>
      </c>
      <c r="F20" s="46" t="str">
        <f>Matrix!F28</f>
        <v/>
      </c>
      <c r="G20" s="46" t="str">
        <f>Matrix!G28</f>
        <v/>
      </c>
      <c r="H20" s="46" t="str">
        <f ca="1">Matrix!H28</f>
        <v>DE.East.AB.06.Gen</v>
      </c>
      <c r="I20" s="47" t="str">
        <f ca="1">Matrix!J28</f>
        <v>DE</v>
      </c>
      <c r="J20" s="46" t="str">
        <f>Matrix!K28</f>
        <v>East</v>
      </c>
      <c r="K20" s="46" t="str">
        <f>Matrix!L28</f>
        <v>Eastern Germany / former GDR</v>
      </c>
      <c r="L20" s="46" t="str">
        <f>Matrix!M28</f>
        <v>neue Bundesländer</v>
      </c>
      <c r="M20" s="46">
        <f>Matrix!N28</f>
        <v>6</v>
      </c>
      <c r="N20" s="46">
        <f>Matrix!O28</f>
        <v>1969</v>
      </c>
      <c r="O20" s="46">
        <f>Matrix!P28</f>
        <v>1978</v>
      </c>
      <c r="P20" s="46" t="str">
        <f>Matrix!Q28</f>
        <v>Gen</v>
      </c>
      <c r="Q20" s="46" t="str">
        <f>Matrix!R28</f>
        <v>Generic</v>
      </c>
      <c r="R20" s="46" t="str">
        <f>Matrix!S28</f>
        <v>Basis-Typ</v>
      </c>
      <c r="S20" s="46" t="str">
        <f>Matrix!T28</f>
        <v>panel building (Plattenbau)</v>
      </c>
      <c r="T20" s="46">
        <f>Matrix!U28</f>
        <v>0</v>
      </c>
      <c r="U20" s="47">
        <f>Matrix!W28</f>
        <v>0</v>
      </c>
      <c r="V20" s="46">
        <f>Matrix!X28</f>
        <v>0</v>
      </c>
      <c r="W20" s="46">
        <f>Matrix!Y28</f>
        <v>0</v>
      </c>
      <c r="X20" s="46" t="str">
        <f>Matrix!Z28</f>
        <v>ReEx.001</v>
      </c>
      <c r="Y20" s="48" t="s">
        <v>254</v>
      </c>
      <c r="Z20" s="48" t="s">
        <v>244</v>
      </c>
      <c r="AA20" s="48" t="s">
        <v>244</v>
      </c>
      <c r="AB20" s="48" t="s">
        <v>244</v>
      </c>
      <c r="AC20" s="48" t="s">
        <v>274</v>
      </c>
      <c r="AD20" s="52">
        <v>45751</v>
      </c>
    </row>
    <row r="21" spans="1:30">
      <c r="A21" s="51">
        <v>20</v>
      </c>
      <c r="B21" s="46" t="str">
        <f>Matrix!B29</f>
        <v>Eastern Germany / former GDR 
(neue Bundesländer)</v>
      </c>
      <c r="C21" s="46" t="str">
        <f>Matrix!C29</f>
        <v>1979 ... 1983</v>
      </c>
      <c r="D21" s="46" t="str">
        <f>Matrix!D29</f>
        <v>Generic 
(Basis-Typ)</v>
      </c>
      <c r="E21" s="46" t="str">
        <f>Matrix!E29</f>
        <v/>
      </c>
      <c r="F21" s="46" t="str">
        <f>Matrix!F29</f>
        <v/>
      </c>
      <c r="G21" s="46" t="str">
        <f>Matrix!G29</f>
        <v/>
      </c>
      <c r="H21" s="46" t="str">
        <f ca="1">Matrix!H29</f>
        <v>DE.East.AB.07.Gen</v>
      </c>
      <c r="I21" s="47" t="str">
        <f ca="1">Matrix!J29</f>
        <v>DE</v>
      </c>
      <c r="J21" s="46" t="str">
        <f>Matrix!K29</f>
        <v>East</v>
      </c>
      <c r="K21" s="46" t="str">
        <f>Matrix!L29</f>
        <v>Eastern Germany / former GDR</v>
      </c>
      <c r="L21" s="46" t="str">
        <f>Matrix!M29</f>
        <v>neue Bundesländer</v>
      </c>
      <c r="M21" s="46">
        <f>Matrix!N29</f>
        <v>7</v>
      </c>
      <c r="N21" s="46">
        <f>Matrix!O29</f>
        <v>1979</v>
      </c>
      <c r="O21" s="46">
        <f>Matrix!P29</f>
        <v>1983</v>
      </c>
      <c r="P21" s="46" t="str">
        <f>Matrix!Q29</f>
        <v>Gen</v>
      </c>
      <c r="Q21" s="46" t="str">
        <f>Matrix!R29</f>
        <v>Generic</v>
      </c>
      <c r="R21" s="46" t="str">
        <f>Matrix!S29</f>
        <v>Basis-Typ</v>
      </c>
      <c r="S21" s="46" t="str">
        <f>Matrix!T29</f>
        <v>panel building (Plattenbau)</v>
      </c>
      <c r="T21" s="46">
        <f>Matrix!U29</f>
        <v>0</v>
      </c>
      <c r="U21" s="47">
        <f>Matrix!W29</f>
        <v>0</v>
      </c>
      <c r="V21" s="46">
        <f>Matrix!X29</f>
        <v>0</v>
      </c>
      <c r="W21" s="46">
        <f>Matrix!Y29</f>
        <v>0</v>
      </c>
      <c r="X21" s="46" t="str">
        <f>Matrix!Z29</f>
        <v>ReEx.001</v>
      </c>
      <c r="Y21" s="48" t="s">
        <v>255</v>
      </c>
      <c r="Z21" s="48" t="s">
        <v>244</v>
      </c>
      <c r="AA21" s="48" t="s">
        <v>244</v>
      </c>
      <c r="AB21" s="48" t="s">
        <v>244</v>
      </c>
      <c r="AC21" s="48" t="s">
        <v>275</v>
      </c>
      <c r="AD21" s="52">
        <v>45751</v>
      </c>
    </row>
    <row r="22" spans="1:30">
      <c r="A22" s="51">
        <v>21</v>
      </c>
      <c r="B22" s="46" t="str">
        <f>Matrix!B30</f>
        <v>Eastern Germany / former GDR 
(neue Bundesländer)</v>
      </c>
      <c r="C22" s="46" t="str">
        <f>Matrix!C30</f>
        <v>1984 ... 1994</v>
      </c>
      <c r="D22" s="46" t="str">
        <f>Matrix!D30</f>
        <v>Generic 
(Basis-Typ)</v>
      </c>
      <c r="E22" s="46" t="str">
        <f>Matrix!E30</f>
        <v/>
      </c>
      <c r="F22" s="46" t="str">
        <f>Matrix!F30</f>
        <v/>
      </c>
      <c r="G22" s="46" t="str">
        <f>Matrix!G30</f>
        <v/>
      </c>
      <c r="H22" s="46" t="str">
        <f ca="1">Matrix!H30</f>
        <v>DE.East.AB.08.Gen</v>
      </c>
      <c r="I22" s="47" t="str">
        <f ca="1">Matrix!J30</f>
        <v>DE</v>
      </c>
      <c r="J22" s="46" t="str">
        <f>Matrix!K30</f>
        <v>East</v>
      </c>
      <c r="K22" s="46" t="str">
        <f>Matrix!L30</f>
        <v>Eastern Germany / former GDR</v>
      </c>
      <c r="L22" s="46" t="str">
        <f>Matrix!M30</f>
        <v>neue Bundesländer</v>
      </c>
      <c r="M22" s="46">
        <f>Matrix!N30</f>
        <v>8</v>
      </c>
      <c r="N22" s="46">
        <f>Matrix!O30</f>
        <v>1984</v>
      </c>
      <c r="O22" s="46">
        <f>Matrix!P30</f>
        <v>1994</v>
      </c>
      <c r="P22" s="46" t="str">
        <f>Matrix!Q30</f>
        <v>Gen</v>
      </c>
      <c r="Q22" s="46" t="str">
        <f>Matrix!R30</f>
        <v>Generic</v>
      </c>
      <c r="R22" s="46" t="str">
        <f>Matrix!S30</f>
        <v>Basis-Typ</v>
      </c>
      <c r="S22" s="46" t="str">
        <f>Matrix!T30</f>
        <v>panel building (Plattenbau)</v>
      </c>
      <c r="T22" s="46">
        <f>Matrix!U30</f>
        <v>0</v>
      </c>
      <c r="U22" s="47">
        <f>Matrix!W30</f>
        <v>0</v>
      </c>
      <c r="V22" s="46">
        <f>Matrix!X30</f>
        <v>0</v>
      </c>
      <c r="W22" s="46">
        <f>Matrix!Y30</f>
        <v>0</v>
      </c>
      <c r="X22" s="46" t="str">
        <f>Matrix!Z30</f>
        <v>ReEx.001</v>
      </c>
      <c r="Y22" s="48" t="s">
        <v>256</v>
      </c>
      <c r="Z22" s="48" t="s">
        <v>244</v>
      </c>
      <c r="AA22" s="48" t="s">
        <v>244</v>
      </c>
      <c r="AB22" s="48" t="s">
        <v>244</v>
      </c>
      <c r="AC22" s="48" t="s">
        <v>276</v>
      </c>
      <c r="AD22" s="52">
        <v>45751</v>
      </c>
    </row>
    <row r="23" spans="1:30">
      <c r="A23" s="51">
        <v>22</v>
      </c>
      <c r="B23" s="46" t="str">
        <f>Matrix!B31</f>
        <v>Eastern Germany / former GDR 
(neue Bundesländer)</v>
      </c>
      <c r="C23" s="46" t="str">
        <f>Matrix!C31</f>
        <v>1969 ... 1978</v>
      </c>
      <c r="D23" s="46" t="str">
        <f>Matrix!D31</f>
        <v>High-Rise Building 
(Hochhaus)</v>
      </c>
      <c r="E23" s="46" t="str">
        <f>Matrix!E31</f>
        <v/>
      </c>
      <c r="F23" s="46" t="str">
        <f>Matrix!F31</f>
        <v/>
      </c>
      <c r="G23" s="46" t="str">
        <f>Matrix!G31</f>
        <v/>
      </c>
      <c r="H23" s="46" t="str">
        <f ca="1">Matrix!H31</f>
        <v>DE.East.AB.06.HR</v>
      </c>
      <c r="I23" s="47" t="str">
        <f ca="1">Matrix!J31</f>
        <v>DE</v>
      </c>
      <c r="J23" s="46" t="str">
        <f>Matrix!K31</f>
        <v>East</v>
      </c>
      <c r="K23" s="46" t="str">
        <f>Matrix!L31</f>
        <v>Eastern Germany / former GDR</v>
      </c>
      <c r="L23" s="46" t="str">
        <f>Matrix!M31</f>
        <v>neue Bundesländer</v>
      </c>
      <c r="M23" s="46">
        <f>Matrix!N31</f>
        <v>6</v>
      </c>
      <c r="N23" s="46">
        <f>Matrix!O31</f>
        <v>1969</v>
      </c>
      <c r="O23" s="46">
        <f>Matrix!P31</f>
        <v>1978</v>
      </c>
      <c r="P23" s="46" t="str">
        <f>Matrix!Q31</f>
        <v>HR</v>
      </c>
      <c r="Q23" s="46" t="str">
        <f>Matrix!R31</f>
        <v>High-Rise Building</v>
      </c>
      <c r="R23" s="46" t="str">
        <f>Matrix!S31</f>
        <v>Hochhaus</v>
      </c>
      <c r="S23" s="46" t="str">
        <f>Matrix!T31</f>
        <v>panel building (Plattenbau)</v>
      </c>
      <c r="T23" s="46">
        <f>Matrix!U31</f>
        <v>0</v>
      </c>
      <c r="U23" s="47">
        <f>Matrix!W31</f>
        <v>0</v>
      </c>
      <c r="V23" s="46">
        <f>Matrix!X31</f>
        <v>0</v>
      </c>
      <c r="W23" s="46">
        <f>Matrix!Y31</f>
        <v>0</v>
      </c>
      <c r="X23" s="46" t="str">
        <f>Matrix!Z31</f>
        <v>ReEx.001</v>
      </c>
      <c r="Y23" s="48" t="s">
        <v>254</v>
      </c>
      <c r="Z23" s="48" t="s">
        <v>244</v>
      </c>
      <c r="AA23" s="48" t="s">
        <v>244</v>
      </c>
      <c r="AB23" s="48" t="s">
        <v>244</v>
      </c>
      <c r="AC23" s="48" t="s">
        <v>277</v>
      </c>
      <c r="AD23" s="52">
        <v>45751</v>
      </c>
    </row>
    <row r="24" spans="1:30">
      <c r="A24" s="51">
        <v>23</v>
      </c>
      <c r="B24" s="46" t="str">
        <f>Matrix!B32</f>
        <v>Eastern Germany / former GDR 
(neue Bundesländer)</v>
      </c>
      <c r="C24" s="46" t="str">
        <f>Matrix!C32</f>
        <v>1979 ... 1983</v>
      </c>
      <c r="D24" s="46" t="str">
        <f>Matrix!D32</f>
        <v>High-Rise Building 
(Hochhaus)</v>
      </c>
      <c r="E24" s="46" t="str">
        <f>Matrix!E32</f>
        <v/>
      </c>
      <c r="F24" s="46" t="str">
        <f>Matrix!F32</f>
        <v/>
      </c>
      <c r="G24" s="46" t="str">
        <f>Matrix!G32</f>
        <v/>
      </c>
      <c r="H24" s="46" t="str">
        <f ca="1">Matrix!H32</f>
        <v>DE.East.AB.07.HR</v>
      </c>
      <c r="I24" s="47" t="str">
        <f ca="1">Matrix!J32</f>
        <v>DE</v>
      </c>
      <c r="J24" s="46" t="str">
        <f>Matrix!K32</f>
        <v>East</v>
      </c>
      <c r="K24" s="46" t="str">
        <f>Matrix!L32</f>
        <v>Eastern Germany / former GDR</v>
      </c>
      <c r="L24" s="46" t="str">
        <f>Matrix!M32</f>
        <v>neue Bundesländer</v>
      </c>
      <c r="M24" s="46">
        <f>Matrix!N32</f>
        <v>7</v>
      </c>
      <c r="N24" s="46">
        <f>Matrix!O32</f>
        <v>1979</v>
      </c>
      <c r="O24" s="46">
        <f>Matrix!P32</f>
        <v>1983</v>
      </c>
      <c r="P24" s="46" t="str">
        <f>Matrix!Q32</f>
        <v>HR</v>
      </c>
      <c r="Q24" s="46" t="str">
        <f>Matrix!R32</f>
        <v>High-Rise Building</v>
      </c>
      <c r="R24" s="46" t="str">
        <f>Matrix!S32</f>
        <v>Hochhaus</v>
      </c>
      <c r="S24" s="46" t="str">
        <f>Matrix!T32</f>
        <v>panel building (Plattenbau)</v>
      </c>
      <c r="T24" s="46">
        <f>Matrix!U32</f>
        <v>0</v>
      </c>
      <c r="U24" s="47">
        <f>Matrix!W32</f>
        <v>0</v>
      </c>
      <c r="V24" s="46">
        <f>Matrix!X32</f>
        <v>0</v>
      </c>
      <c r="W24" s="46">
        <f>Matrix!Y32</f>
        <v>0</v>
      </c>
      <c r="X24" s="46" t="str">
        <f>Matrix!Z32</f>
        <v>ReEx.001</v>
      </c>
      <c r="Y24" s="48" t="s">
        <v>255</v>
      </c>
      <c r="Z24" s="48" t="s">
        <v>244</v>
      </c>
      <c r="AA24" s="48" t="s">
        <v>244</v>
      </c>
      <c r="AB24" s="48" t="s">
        <v>244</v>
      </c>
      <c r="AC24" s="48" t="s">
        <v>278</v>
      </c>
      <c r="AD24" s="52">
        <v>45751</v>
      </c>
    </row>
    <row r="25" spans="1:30">
      <c r="A25" s="51">
        <v>24</v>
      </c>
      <c r="B25" s="53" t="s">
        <v>280</v>
      </c>
      <c r="C25" s="53" t="s">
        <v>280</v>
      </c>
      <c r="D25" s="53" t="s">
        <v>280</v>
      </c>
      <c r="E25" s="53" t="s">
        <v>280</v>
      </c>
      <c r="F25" s="53" t="s">
        <v>280</v>
      </c>
      <c r="G25" s="53" t="s">
        <v>280</v>
      </c>
      <c r="H25" s="53" t="s">
        <v>280</v>
      </c>
      <c r="I25" s="53" t="s">
        <v>280</v>
      </c>
      <c r="J25" s="53" t="s">
        <v>280</v>
      </c>
      <c r="K25" s="53" t="s">
        <v>280</v>
      </c>
      <c r="L25" s="53" t="s">
        <v>280</v>
      </c>
      <c r="M25" s="53" t="s">
        <v>280</v>
      </c>
      <c r="N25" s="53" t="s">
        <v>280</v>
      </c>
      <c r="O25" s="53" t="s">
        <v>280</v>
      </c>
      <c r="P25" s="53" t="s">
        <v>280</v>
      </c>
      <c r="Q25" s="53" t="s">
        <v>280</v>
      </c>
      <c r="R25" s="53" t="s">
        <v>280</v>
      </c>
      <c r="S25" s="53" t="s">
        <v>280</v>
      </c>
      <c r="T25" s="53" t="s">
        <v>280</v>
      </c>
      <c r="U25" s="53" t="s">
        <v>280</v>
      </c>
      <c r="V25" s="53" t="s">
        <v>280</v>
      </c>
      <c r="W25" s="53" t="s">
        <v>280</v>
      </c>
      <c r="X25" s="53" t="s">
        <v>280</v>
      </c>
      <c r="Y25" s="53" t="s">
        <v>280</v>
      </c>
      <c r="Z25" s="53" t="s">
        <v>280</v>
      </c>
      <c r="AA25" s="53" t="s">
        <v>280</v>
      </c>
      <c r="AB25" s="53" t="s">
        <v>280</v>
      </c>
      <c r="AC25" s="53" t="s">
        <v>280</v>
      </c>
      <c r="AD25" s="52">
        <v>45800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E208-BFC3-4061-8740-155E9397331E}">
  <dimension ref="A1:AQ61"/>
  <sheetViews>
    <sheetView showGridLines="0" workbookViewId="0">
      <selection sqref="A1:I1048576"/>
    </sheetView>
  </sheetViews>
  <sheetFormatPr baseColWidth="10" defaultColWidth="9.28515625" defaultRowHeight="10.199999999999999"/>
  <cols>
    <col min="1" max="1" width="5.85546875" style="10" customWidth="1"/>
    <col min="2" max="8" width="16.7109375" style="10" customWidth="1"/>
    <col min="9" max="9" width="5.85546875" style="10" customWidth="1"/>
    <col min="10" max="10" width="8.28515625" style="10" customWidth="1"/>
    <col min="11" max="11" width="16.7109375" style="10" customWidth="1"/>
    <col min="12" max="13" width="33.28515625" style="10" customWidth="1"/>
    <col min="14" max="16" width="8.28515625" style="10" customWidth="1"/>
    <col min="17" max="17" width="16.7109375" style="10" customWidth="1"/>
    <col min="18" max="21" width="33.28515625" style="10" customWidth="1"/>
  </cols>
  <sheetData>
    <row r="1" spans="1:43" ht="51">
      <c r="A1" s="8" t="s">
        <v>170</v>
      </c>
      <c r="B1" s="8" t="s">
        <v>171</v>
      </c>
      <c r="C1" s="8" t="s">
        <v>172</v>
      </c>
      <c r="D1" s="8" t="s">
        <v>173</v>
      </c>
      <c r="E1" s="8" t="s">
        <v>174</v>
      </c>
      <c r="F1" s="8" t="s">
        <v>175</v>
      </c>
      <c r="G1" s="8" t="s">
        <v>176</v>
      </c>
      <c r="H1" s="8" t="s">
        <v>177</v>
      </c>
      <c r="I1" s="9"/>
      <c r="J1" s="8" t="s">
        <v>178</v>
      </c>
      <c r="K1" s="8" t="s">
        <v>179</v>
      </c>
      <c r="L1" s="8" t="s">
        <v>180</v>
      </c>
      <c r="M1" s="8" t="s">
        <v>181</v>
      </c>
      <c r="N1" s="8" t="s">
        <v>182</v>
      </c>
      <c r="O1" s="8" t="s">
        <v>183</v>
      </c>
      <c r="P1" s="8" t="s">
        <v>184</v>
      </c>
      <c r="Q1" s="8" t="s">
        <v>185</v>
      </c>
      <c r="R1" s="8" t="s">
        <v>186</v>
      </c>
      <c r="S1" s="8" t="s">
        <v>187</v>
      </c>
      <c r="T1" s="8" t="s">
        <v>188</v>
      </c>
      <c r="U1" s="8" t="s">
        <v>189</v>
      </c>
      <c r="W1" s="8" t="s">
        <v>190</v>
      </c>
      <c r="X1" s="8" t="s">
        <v>191</v>
      </c>
      <c r="Y1" s="8" t="s">
        <v>192</v>
      </c>
      <c r="Z1" s="8" t="s">
        <v>193</v>
      </c>
      <c r="AB1" s="8" t="s">
        <v>194</v>
      </c>
      <c r="AC1" s="8" t="s">
        <v>195</v>
      </c>
      <c r="AD1" s="8" t="s">
        <v>196</v>
      </c>
      <c r="AE1" s="8" t="s">
        <v>197</v>
      </c>
      <c r="AG1" s="8" t="s">
        <v>198</v>
      </c>
      <c r="AH1" s="8" t="s">
        <v>199</v>
      </c>
      <c r="AI1" s="8" t="s">
        <v>200</v>
      </c>
      <c r="AJ1" s="8" t="s">
        <v>201</v>
      </c>
    </row>
    <row r="2" spans="1:43" ht="6" customHeight="1"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W2" s="13"/>
      <c r="X2" s="13"/>
      <c r="Y2" s="13"/>
      <c r="Z2" s="13"/>
      <c r="AB2" s="13"/>
      <c r="AC2" s="13"/>
      <c r="AD2" s="13"/>
      <c r="AE2" s="13"/>
      <c r="AG2" s="13"/>
      <c r="AH2" s="14"/>
      <c r="AI2" s="13"/>
      <c r="AJ2" s="13"/>
    </row>
    <row r="3" spans="1:43" ht="6" customHeight="1"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W3" s="15"/>
      <c r="X3" s="15"/>
      <c r="Y3" s="15"/>
      <c r="Z3" s="15"/>
      <c r="AB3" s="15"/>
      <c r="AC3" s="15"/>
      <c r="AD3" s="15"/>
      <c r="AE3" s="15"/>
      <c r="AG3" s="15"/>
      <c r="AH3" s="16"/>
      <c r="AI3" s="15"/>
      <c r="AJ3" s="15"/>
    </row>
    <row r="4" spans="1:43" ht="6" customHeight="1"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W4" s="15"/>
      <c r="X4" s="15"/>
      <c r="Y4" s="15"/>
      <c r="Z4" s="15"/>
      <c r="AB4" s="15"/>
      <c r="AC4" s="15"/>
      <c r="AD4" s="15"/>
      <c r="AE4" s="15"/>
      <c r="AG4" s="15"/>
      <c r="AH4" s="16"/>
      <c r="AI4" s="15"/>
      <c r="AJ4" s="15"/>
    </row>
    <row r="5" spans="1:43" ht="6" customHeight="1"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W5" s="15"/>
      <c r="X5" s="15"/>
      <c r="Y5" s="15"/>
      <c r="Z5" s="15"/>
      <c r="AB5" s="15"/>
      <c r="AC5" s="15"/>
      <c r="AD5" s="15"/>
      <c r="AE5" s="15"/>
      <c r="AG5" s="15"/>
      <c r="AH5" s="16"/>
      <c r="AI5" s="15"/>
      <c r="AJ5" s="15"/>
    </row>
    <row r="6" spans="1:43" ht="6" customHeight="1"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W6" s="15"/>
      <c r="X6" s="15"/>
      <c r="Y6" s="15"/>
      <c r="Z6" s="15"/>
      <c r="AB6" s="15"/>
      <c r="AC6" s="15"/>
      <c r="AD6" s="15"/>
      <c r="AE6" s="15"/>
      <c r="AG6" s="15"/>
      <c r="AH6" s="16"/>
      <c r="AI6" s="15"/>
      <c r="AJ6" s="15"/>
    </row>
    <row r="7" spans="1:43" ht="23.25" customHeight="1">
      <c r="A7" s="17" t="s">
        <v>202</v>
      </c>
      <c r="B7" s="17"/>
      <c r="C7" s="17"/>
      <c r="D7" s="17"/>
      <c r="E7" s="17"/>
      <c r="F7" s="17"/>
      <c r="G7" s="17"/>
      <c r="H7" s="17"/>
      <c r="I7" s="17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W7" s="15"/>
      <c r="X7" s="15"/>
      <c r="Y7" s="15"/>
      <c r="Z7" s="15"/>
      <c r="AB7" s="15"/>
      <c r="AC7" s="15"/>
      <c r="AD7" s="15"/>
      <c r="AE7" s="15"/>
      <c r="AG7" s="15"/>
      <c r="AH7" s="15"/>
      <c r="AI7" s="15"/>
      <c r="AJ7" s="15"/>
      <c r="AN7" s="18" t="s">
        <v>203</v>
      </c>
      <c r="AO7" s="19"/>
      <c r="AP7" s="19"/>
      <c r="AQ7" s="19"/>
    </row>
    <row r="8" spans="1:43" ht="23.25" customHeight="1">
      <c r="A8" s="20"/>
      <c r="B8" s="21"/>
      <c r="C8" s="21"/>
      <c r="D8" s="22"/>
      <c r="E8" s="56" t="s">
        <v>204</v>
      </c>
      <c r="F8" s="57"/>
      <c r="G8" s="57"/>
      <c r="H8" s="58"/>
      <c r="I8" s="23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W8" s="15"/>
      <c r="X8" s="15"/>
      <c r="Y8" s="15"/>
      <c r="Z8" s="15"/>
      <c r="AB8" s="24" t="s">
        <v>205</v>
      </c>
      <c r="AC8" s="15"/>
      <c r="AD8" s="15"/>
      <c r="AE8" s="15"/>
      <c r="AF8" s="25"/>
      <c r="AG8" s="24" t="s">
        <v>206</v>
      </c>
      <c r="AH8" s="15"/>
      <c r="AI8" s="15"/>
      <c r="AJ8" s="15"/>
      <c r="AN8" s="26" t="s">
        <v>207</v>
      </c>
      <c r="AO8" s="26" t="s">
        <v>207</v>
      </c>
      <c r="AP8" s="26" t="s">
        <v>208</v>
      </c>
      <c r="AQ8" s="26" t="s">
        <v>208</v>
      </c>
    </row>
    <row r="9" spans="1:43">
      <c r="A9" s="59"/>
      <c r="B9" s="60" t="s">
        <v>209</v>
      </c>
      <c r="C9" s="60" t="s">
        <v>210</v>
      </c>
      <c r="D9" s="60" t="s">
        <v>211</v>
      </c>
      <c r="E9" s="27" t="s">
        <v>212</v>
      </c>
      <c r="F9" s="27" t="s">
        <v>213</v>
      </c>
      <c r="G9" s="27" t="s">
        <v>214</v>
      </c>
      <c r="H9" s="27" t="s">
        <v>215</v>
      </c>
      <c r="I9" s="5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15"/>
      <c r="X9" s="15"/>
      <c r="Y9" s="15"/>
      <c r="Z9" s="15"/>
      <c r="AB9" s="24" t="s">
        <v>216</v>
      </c>
      <c r="AC9" s="15"/>
      <c r="AD9" s="15"/>
      <c r="AE9" s="15"/>
      <c r="AF9" s="25"/>
      <c r="AG9" s="24" t="s">
        <v>217</v>
      </c>
      <c r="AH9" s="15"/>
      <c r="AI9" s="15"/>
      <c r="AJ9" s="15"/>
      <c r="AN9" s="26" t="s">
        <v>218</v>
      </c>
      <c r="AO9" s="26" t="s">
        <v>219</v>
      </c>
      <c r="AP9" s="26" t="s">
        <v>218</v>
      </c>
      <c r="AQ9" s="26" t="s">
        <v>219</v>
      </c>
    </row>
    <row r="10" spans="1:43" ht="20.399999999999999">
      <c r="A10" s="59"/>
      <c r="B10" s="61"/>
      <c r="C10" s="61"/>
      <c r="D10" s="61"/>
      <c r="E10" s="28" t="s">
        <v>220</v>
      </c>
      <c r="F10" s="28" t="s">
        <v>221</v>
      </c>
      <c r="G10" s="28" t="s">
        <v>222</v>
      </c>
      <c r="H10" s="28" t="s">
        <v>223</v>
      </c>
      <c r="I10" s="55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W10" s="29"/>
      <c r="X10" s="29"/>
      <c r="Y10" s="29"/>
      <c r="Z10" s="29"/>
      <c r="AB10" s="30"/>
      <c r="AC10" s="29"/>
      <c r="AD10" s="29"/>
      <c r="AE10" s="29"/>
      <c r="AF10" s="25"/>
      <c r="AG10" s="30"/>
      <c r="AH10" s="29"/>
      <c r="AI10" s="29"/>
      <c r="AJ10" s="29"/>
      <c r="AM10" s="26" t="s">
        <v>224</v>
      </c>
      <c r="AN10" s="31">
        <f ca="1">SUM(AN11:AN5001)</f>
        <v>24</v>
      </c>
      <c r="AO10" s="31">
        <f ca="1">SUM(AO11:AO5001)</f>
        <v>26</v>
      </c>
      <c r="AP10" s="31">
        <f ca="1">SUM(AP11:AP5001)</f>
        <v>23</v>
      </c>
      <c r="AQ10" s="31">
        <f ca="1">SUM(AQ11:AQ5001)</f>
        <v>22</v>
      </c>
    </row>
    <row r="11" spans="1:43" ht="75" customHeight="1">
      <c r="A11" s="32">
        <f ca="1">OFFSET(A11,-1,0)+1</f>
        <v>1</v>
      </c>
      <c r="B11" s="33" t="str">
        <f>CONCATENATE(L11,IF(AND(M11&lt;&gt;L11,M11&lt;&gt;"")," 
("&amp;M11&amp;")",""))</f>
        <v>National 
(nicht regional spezifiziert)</v>
      </c>
      <c r="C11" s="33" t="str">
        <f>IF(AND(ISNUMBER(O11),O11&gt;0),O11,"")&amp;" ... "&amp;IF(AND(ISNUMBER(P11),P11&lt;9999),P11,"")</f>
        <v xml:space="preserve"> ... 1859</v>
      </c>
      <c r="D11" s="33" t="str">
        <f>CONCATENATE(R11,IF(AND(S11&lt;&gt;R11,S11&lt;&gt;"")," 
("&amp;S11&amp;")",""))</f>
        <v>Generic 
(Basis-Typ)</v>
      </c>
      <c r="E11" s="34" t="str">
        <f t="shared" ref="E11:H43" si="0">IF(W11&lt;&gt;"",$J11&amp;"."&amp;$K11&amp;"."&amp;E$9&amp;"."&amp;TEXT($N11,"00")&amp;"."&amp;$Q11,"")</f>
        <v>DE.N.SFH.01.Gen</v>
      </c>
      <c r="F11" s="34" t="str">
        <f t="shared" si="0"/>
        <v/>
      </c>
      <c r="G11" s="34" t="str">
        <f t="shared" si="0"/>
        <v>DE.N.MFH.01.Gen</v>
      </c>
      <c r="H11" s="34" t="str">
        <f t="shared" si="0"/>
        <v/>
      </c>
      <c r="I11" s="35"/>
      <c r="J11" s="36" t="s">
        <v>225</v>
      </c>
      <c r="K11" s="36" t="s">
        <v>60</v>
      </c>
      <c r="L11" s="37" t="s">
        <v>226</v>
      </c>
      <c r="M11" s="37" t="s">
        <v>227</v>
      </c>
      <c r="N11" s="36">
        <v>1</v>
      </c>
      <c r="O11" s="36">
        <v>0</v>
      </c>
      <c r="P11" s="36">
        <v>1859</v>
      </c>
      <c r="Q11" s="36" t="s">
        <v>228</v>
      </c>
      <c r="R11" s="37" t="s">
        <v>229</v>
      </c>
      <c r="S11" s="37" t="s">
        <v>230</v>
      </c>
      <c r="T11" s="37"/>
      <c r="U11" s="37"/>
      <c r="W11" s="37" t="s">
        <v>231</v>
      </c>
      <c r="X11" s="37"/>
      <c r="Y11" s="37" t="s">
        <v>231</v>
      </c>
      <c r="Z11" s="37"/>
      <c r="AB11" s="37">
        <v>1</v>
      </c>
      <c r="AC11" s="37">
        <v>1</v>
      </c>
      <c r="AD11" s="37">
        <v>1</v>
      </c>
      <c r="AE11" s="37">
        <v>1</v>
      </c>
      <c r="AG11" s="38">
        <f t="shared" ref="AG11:AJ26" si="1">IF(AND($K11="N",$Q11="Gen"),1,IF(OR($K11&lt;&gt;$K10,$Q11&lt;&gt;$Q10),MOD(AG10+1,2)+2,AG10))</f>
        <v>1</v>
      </c>
      <c r="AH11" s="38">
        <f t="shared" si="1"/>
        <v>1</v>
      </c>
      <c r="AI11" s="38">
        <f t="shared" si="1"/>
        <v>1</v>
      </c>
      <c r="AJ11" s="38">
        <f t="shared" si="1"/>
        <v>1</v>
      </c>
      <c r="AN11" s="39">
        <f>IF($K11&lt;&gt;"",2-COUNTBLANK($E11:$F11),0)</f>
        <v>1</v>
      </c>
      <c r="AO11" s="39">
        <f>IF($K11&lt;&gt;"",2-COUNTBLANK($G11:$H11),0)</f>
        <v>1</v>
      </c>
      <c r="AP11" s="39">
        <f>IF(AND($K11&lt;&gt;"",$Q11="Gen"),2-COUNTBLANK($E11:$F11),0)</f>
        <v>1</v>
      </c>
      <c r="AQ11" s="39">
        <f>IF(AND($K11&lt;&gt;"",$Q11="Gen"),2-COUNTBLANK($G11:$H11),0)</f>
        <v>1</v>
      </c>
    </row>
    <row r="12" spans="1:43" ht="75" customHeight="1">
      <c r="A12" s="32">
        <f t="shared" ref="A12:A61" ca="1" si="2">OFFSET(A12,-1,0)+1</f>
        <v>2</v>
      </c>
      <c r="B12" s="33" t="str">
        <f t="shared" ref="B12:B61" si="3">CONCATENATE(L12,IF(AND(M12&lt;&gt;L12,M12&lt;&gt;"")," 
("&amp;M12&amp;")",""))</f>
        <v>National 
(nicht regional spezifiziert)</v>
      </c>
      <c r="C12" s="33" t="str">
        <f t="shared" ref="C12:C61" si="4">IF(AND(ISNUMBER(O12),O12&gt;0),O12,"")&amp;" ... "&amp;IF(AND(ISNUMBER(P12),P12&lt;9999),P12,"")</f>
        <v>1860 ... 1918</v>
      </c>
      <c r="D12" s="33" t="str">
        <f t="shared" ref="D12:D61" si="5">CONCATENATE(R12,IF(AND(S12&lt;&gt;R12,S12&lt;&gt;"")," 
("&amp;S12&amp;")",""))</f>
        <v>Generic 
(Basis-Typ)</v>
      </c>
      <c r="E12" s="34" t="str">
        <f t="shared" ca="1" si="0"/>
        <v>DE.N.SFH.02.Gen</v>
      </c>
      <c r="F12" s="34" t="str">
        <f t="shared" ca="1" si="0"/>
        <v>DE.N.TH.02.Gen</v>
      </c>
      <c r="G12" s="34" t="str">
        <f t="shared" ca="1" si="0"/>
        <v>DE.N.MFH.02.Gen</v>
      </c>
      <c r="H12" s="34" t="str">
        <f t="shared" ca="1" si="0"/>
        <v>DE.N.AB.02.Gen</v>
      </c>
      <c r="I12" s="35"/>
      <c r="J12" s="40" t="str">
        <f ca="1">OFFSET(J12,-1,0)</f>
        <v>DE</v>
      </c>
      <c r="K12" s="41" t="s">
        <v>60</v>
      </c>
      <c r="L12" s="37" t="s">
        <v>226</v>
      </c>
      <c r="M12" s="37" t="s">
        <v>227</v>
      </c>
      <c r="N12" s="41">
        <v>2</v>
      </c>
      <c r="O12" s="41">
        <v>1860</v>
      </c>
      <c r="P12" s="41">
        <v>1918</v>
      </c>
      <c r="Q12" s="41" t="s">
        <v>228</v>
      </c>
      <c r="R12" s="37" t="s">
        <v>229</v>
      </c>
      <c r="S12" s="37" t="s">
        <v>230</v>
      </c>
      <c r="T12" s="42"/>
      <c r="U12" s="42"/>
      <c r="W12" s="37" t="s">
        <v>231</v>
      </c>
      <c r="X12" s="37" t="s">
        <v>231</v>
      </c>
      <c r="Y12" s="37" t="s">
        <v>231</v>
      </c>
      <c r="Z12" s="37" t="s">
        <v>231</v>
      </c>
      <c r="AB12" s="37">
        <v>1</v>
      </c>
      <c r="AC12" s="37">
        <v>1</v>
      </c>
      <c r="AD12" s="37">
        <v>1</v>
      </c>
      <c r="AE12" s="37">
        <v>1</v>
      </c>
      <c r="AG12" s="38">
        <f t="shared" si="1"/>
        <v>1</v>
      </c>
      <c r="AH12" s="38">
        <f t="shared" si="1"/>
        <v>1</v>
      </c>
      <c r="AI12" s="38">
        <f t="shared" si="1"/>
        <v>1</v>
      </c>
      <c r="AJ12" s="38">
        <f t="shared" si="1"/>
        <v>1</v>
      </c>
      <c r="AN12" s="39">
        <f t="shared" ref="AN12:AN61" ca="1" si="6">IF($K12&lt;&gt;"",2-COUNTBLANK($E12:$F12),0)</f>
        <v>2</v>
      </c>
      <c r="AO12" s="39">
        <f t="shared" ref="AO12:AO61" ca="1" si="7">IF($K12&lt;&gt;"",2-COUNTBLANK($G12:$H12),0)</f>
        <v>2</v>
      </c>
      <c r="AP12" s="39">
        <f t="shared" ref="AP12:AP61" ca="1" si="8">IF(AND($K12&lt;&gt;"",$Q12="Gen"),2-COUNTBLANK($E12:$F12),0)</f>
        <v>2</v>
      </c>
      <c r="AQ12" s="39">
        <f t="shared" ref="AQ12:AQ61" ca="1" si="9">IF(AND($K12&lt;&gt;"",$Q12="Gen"),2-COUNTBLANK($G12:$H12),0)</f>
        <v>2</v>
      </c>
    </row>
    <row r="13" spans="1:43" ht="75" customHeight="1">
      <c r="A13" s="32">
        <f t="shared" ca="1" si="2"/>
        <v>3</v>
      </c>
      <c r="B13" s="33" t="str">
        <f t="shared" si="3"/>
        <v>National 
(nicht regional spezifiziert)</v>
      </c>
      <c r="C13" s="33" t="str">
        <f t="shared" si="4"/>
        <v>1919 ... 1948</v>
      </c>
      <c r="D13" s="33" t="str">
        <f t="shared" si="5"/>
        <v>Generic 
(Basis-Typ)</v>
      </c>
      <c r="E13" s="34" t="str">
        <f t="shared" ca="1" si="0"/>
        <v>DE.N.SFH.03.Gen</v>
      </c>
      <c r="F13" s="34" t="str">
        <f t="shared" ca="1" si="0"/>
        <v>DE.N.TH.03.Gen</v>
      </c>
      <c r="G13" s="34" t="str">
        <f t="shared" ca="1" si="0"/>
        <v>DE.N.MFH.03.Gen</v>
      </c>
      <c r="H13" s="34" t="str">
        <f t="shared" ca="1" si="0"/>
        <v>DE.N.AB.03.Gen</v>
      </c>
      <c r="I13" s="35"/>
      <c r="J13" s="40" t="str">
        <f t="shared" ref="J13:J61" ca="1" si="10">OFFSET(J13,-1,0)</f>
        <v>DE</v>
      </c>
      <c r="K13" s="41" t="s">
        <v>60</v>
      </c>
      <c r="L13" s="37" t="s">
        <v>226</v>
      </c>
      <c r="M13" s="37" t="s">
        <v>227</v>
      </c>
      <c r="N13" s="41">
        <v>3</v>
      </c>
      <c r="O13" s="41">
        <v>1919</v>
      </c>
      <c r="P13" s="41">
        <v>1948</v>
      </c>
      <c r="Q13" s="41" t="s">
        <v>228</v>
      </c>
      <c r="R13" s="37" t="s">
        <v>229</v>
      </c>
      <c r="S13" s="37" t="s">
        <v>230</v>
      </c>
      <c r="T13" s="42"/>
      <c r="U13" s="42"/>
      <c r="W13" s="37" t="s">
        <v>231</v>
      </c>
      <c r="X13" s="37" t="s">
        <v>231</v>
      </c>
      <c r="Y13" s="37" t="s">
        <v>231</v>
      </c>
      <c r="Z13" s="37" t="s">
        <v>231</v>
      </c>
      <c r="AB13" s="37">
        <v>1</v>
      </c>
      <c r="AC13" s="37">
        <v>1</v>
      </c>
      <c r="AD13" s="37">
        <v>1</v>
      </c>
      <c r="AE13" s="37">
        <v>1</v>
      </c>
      <c r="AG13" s="38">
        <f t="shared" si="1"/>
        <v>1</v>
      </c>
      <c r="AH13" s="38">
        <f t="shared" si="1"/>
        <v>1</v>
      </c>
      <c r="AI13" s="38">
        <f t="shared" si="1"/>
        <v>1</v>
      </c>
      <c r="AJ13" s="38">
        <f t="shared" si="1"/>
        <v>1</v>
      </c>
      <c r="AN13" s="39">
        <f t="shared" ca="1" si="6"/>
        <v>2</v>
      </c>
      <c r="AO13" s="39">
        <f t="shared" ca="1" si="7"/>
        <v>2</v>
      </c>
      <c r="AP13" s="39">
        <f t="shared" ca="1" si="8"/>
        <v>2</v>
      </c>
      <c r="AQ13" s="39">
        <f t="shared" ca="1" si="9"/>
        <v>2</v>
      </c>
    </row>
    <row r="14" spans="1:43" ht="75" customHeight="1">
      <c r="A14" s="32">
        <f t="shared" ca="1" si="2"/>
        <v>4</v>
      </c>
      <c r="B14" s="33" t="str">
        <f t="shared" si="3"/>
        <v>National 
(nicht regional spezifiziert)</v>
      </c>
      <c r="C14" s="33" t="str">
        <f t="shared" si="4"/>
        <v>1949 ... 1957</v>
      </c>
      <c r="D14" s="33" t="str">
        <f t="shared" si="5"/>
        <v>Generic 
(Basis-Typ)</v>
      </c>
      <c r="E14" s="34" t="str">
        <f t="shared" ca="1" si="0"/>
        <v>DE.N.SFH.04.Gen</v>
      </c>
      <c r="F14" s="34" t="str">
        <f t="shared" ca="1" si="0"/>
        <v>DE.N.TH.04.Gen</v>
      </c>
      <c r="G14" s="34" t="str">
        <f t="shared" ca="1" si="0"/>
        <v>DE.N.MFH.04.Gen</v>
      </c>
      <c r="H14" s="34" t="str">
        <f t="shared" ca="1" si="0"/>
        <v>DE.N.AB.04.Gen</v>
      </c>
      <c r="I14" s="35"/>
      <c r="J14" s="40" t="str">
        <f t="shared" ca="1" si="10"/>
        <v>DE</v>
      </c>
      <c r="K14" s="41" t="s">
        <v>60</v>
      </c>
      <c r="L14" s="37" t="s">
        <v>226</v>
      </c>
      <c r="M14" s="37" t="s">
        <v>227</v>
      </c>
      <c r="N14" s="41">
        <v>4</v>
      </c>
      <c r="O14" s="41">
        <v>1949</v>
      </c>
      <c r="P14" s="41">
        <v>1957</v>
      </c>
      <c r="Q14" s="41" t="s">
        <v>228</v>
      </c>
      <c r="R14" s="37" t="s">
        <v>229</v>
      </c>
      <c r="S14" s="37" t="s">
        <v>230</v>
      </c>
      <c r="T14" s="42"/>
      <c r="U14" s="42"/>
      <c r="W14" s="37" t="s">
        <v>231</v>
      </c>
      <c r="X14" s="37" t="s">
        <v>231</v>
      </c>
      <c r="Y14" s="37" t="s">
        <v>231</v>
      </c>
      <c r="Z14" s="37" t="s">
        <v>231</v>
      </c>
      <c r="AB14" s="37">
        <v>1</v>
      </c>
      <c r="AC14" s="37">
        <v>1</v>
      </c>
      <c r="AD14" s="37">
        <v>1</v>
      </c>
      <c r="AE14" s="37">
        <v>1</v>
      </c>
      <c r="AG14" s="38">
        <f t="shared" si="1"/>
        <v>1</v>
      </c>
      <c r="AH14" s="38">
        <f t="shared" si="1"/>
        <v>1</v>
      </c>
      <c r="AI14" s="38">
        <f t="shared" si="1"/>
        <v>1</v>
      </c>
      <c r="AJ14" s="38">
        <f t="shared" si="1"/>
        <v>1</v>
      </c>
      <c r="AN14" s="39">
        <f t="shared" ca="1" si="6"/>
        <v>2</v>
      </c>
      <c r="AO14" s="39">
        <f t="shared" ca="1" si="7"/>
        <v>2</v>
      </c>
      <c r="AP14" s="39">
        <f t="shared" ca="1" si="8"/>
        <v>2</v>
      </c>
      <c r="AQ14" s="39">
        <f t="shared" ca="1" si="9"/>
        <v>2</v>
      </c>
    </row>
    <row r="15" spans="1:43" ht="75" customHeight="1">
      <c r="A15" s="32">
        <f t="shared" ca="1" si="2"/>
        <v>5</v>
      </c>
      <c r="B15" s="33" t="str">
        <f t="shared" si="3"/>
        <v>National 
(nicht regional spezifiziert)</v>
      </c>
      <c r="C15" s="33" t="str">
        <f t="shared" si="4"/>
        <v>1958 ... 1968</v>
      </c>
      <c r="D15" s="33" t="str">
        <f t="shared" si="5"/>
        <v>Generic 
(Basis-Typ)</v>
      </c>
      <c r="E15" s="34" t="str">
        <f t="shared" ca="1" si="0"/>
        <v>DE.N.SFH.05.Gen</v>
      </c>
      <c r="F15" s="34" t="str">
        <f t="shared" ca="1" si="0"/>
        <v>DE.N.TH.05.Gen</v>
      </c>
      <c r="G15" s="34" t="str">
        <f t="shared" ca="1" si="0"/>
        <v>DE.N.MFH.05.Gen</v>
      </c>
      <c r="H15" s="34" t="str">
        <f t="shared" ca="1" si="0"/>
        <v>DE.N.AB.05.Gen</v>
      </c>
      <c r="I15" s="35"/>
      <c r="J15" s="40" t="str">
        <f t="shared" ca="1" si="10"/>
        <v>DE</v>
      </c>
      <c r="K15" s="41" t="s">
        <v>60</v>
      </c>
      <c r="L15" s="37" t="s">
        <v>226</v>
      </c>
      <c r="M15" s="37" t="s">
        <v>227</v>
      </c>
      <c r="N15" s="41">
        <v>5</v>
      </c>
      <c r="O15" s="41">
        <v>1958</v>
      </c>
      <c r="P15" s="41">
        <v>1968</v>
      </c>
      <c r="Q15" s="41" t="s">
        <v>228</v>
      </c>
      <c r="R15" s="37" t="s">
        <v>229</v>
      </c>
      <c r="S15" s="37" t="s">
        <v>230</v>
      </c>
      <c r="T15" s="42"/>
      <c r="U15" s="42"/>
      <c r="W15" s="37" t="s">
        <v>231</v>
      </c>
      <c r="X15" s="37" t="s">
        <v>231</v>
      </c>
      <c r="Y15" s="37" t="s">
        <v>231</v>
      </c>
      <c r="Z15" s="37" t="s">
        <v>231</v>
      </c>
      <c r="AB15" s="37">
        <v>1</v>
      </c>
      <c r="AC15" s="37">
        <v>1</v>
      </c>
      <c r="AD15" s="37">
        <v>1</v>
      </c>
      <c r="AE15" s="37">
        <v>1</v>
      </c>
      <c r="AG15" s="38">
        <f t="shared" si="1"/>
        <v>1</v>
      </c>
      <c r="AH15" s="38">
        <f t="shared" si="1"/>
        <v>1</v>
      </c>
      <c r="AI15" s="38">
        <f t="shared" si="1"/>
        <v>1</v>
      </c>
      <c r="AJ15" s="38">
        <f t="shared" si="1"/>
        <v>1</v>
      </c>
      <c r="AN15" s="39">
        <f t="shared" ca="1" si="6"/>
        <v>2</v>
      </c>
      <c r="AO15" s="39">
        <f t="shared" ca="1" si="7"/>
        <v>2</v>
      </c>
      <c r="AP15" s="39">
        <f t="shared" ca="1" si="8"/>
        <v>2</v>
      </c>
      <c r="AQ15" s="39">
        <f t="shared" ca="1" si="9"/>
        <v>2</v>
      </c>
    </row>
    <row r="16" spans="1:43" ht="75" customHeight="1">
      <c r="A16" s="32">
        <f t="shared" ca="1" si="2"/>
        <v>6</v>
      </c>
      <c r="B16" s="33" t="str">
        <f t="shared" si="3"/>
        <v>National 
(nicht regional spezifiziert)</v>
      </c>
      <c r="C16" s="33" t="str">
        <f t="shared" si="4"/>
        <v>1969 ... 1978</v>
      </c>
      <c r="D16" s="33" t="str">
        <f t="shared" si="5"/>
        <v>Generic 
(Basis-Typ)</v>
      </c>
      <c r="E16" s="34" t="str">
        <f t="shared" ca="1" si="0"/>
        <v>DE.N.SFH.06.Gen</v>
      </c>
      <c r="F16" s="34" t="str">
        <f t="shared" ca="1" si="0"/>
        <v>DE.N.TH.06.Gen</v>
      </c>
      <c r="G16" s="34" t="str">
        <f t="shared" ca="1" si="0"/>
        <v>DE.N.MFH.06.Gen</v>
      </c>
      <c r="H16" s="34" t="str">
        <f t="shared" ca="1" si="0"/>
        <v>DE.N.AB.06.Gen</v>
      </c>
      <c r="I16" s="35"/>
      <c r="J16" s="40" t="str">
        <f t="shared" ca="1" si="10"/>
        <v>DE</v>
      </c>
      <c r="K16" s="41" t="s">
        <v>60</v>
      </c>
      <c r="L16" s="37" t="s">
        <v>226</v>
      </c>
      <c r="M16" s="37" t="s">
        <v>227</v>
      </c>
      <c r="N16" s="41">
        <v>6</v>
      </c>
      <c r="O16" s="41">
        <v>1969</v>
      </c>
      <c r="P16" s="41">
        <v>1978</v>
      </c>
      <c r="Q16" s="41" t="s">
        <v>228</v>
      </c>
      <c r="R16" s="37" t="s">
        <v>229</v>
      </c>
      <c r="S16" s="37" t="s">
        <v>230</v>
      </c>
      <c r="T16" s="42"/>
      <c r="U16" s="42"/>
      <c r="W16" s="37" t="s">
        <v>231</v>
      </c>
      <c r="X16" s="37" t="s">
        <v>231</v>
      </c>
      <c r="Y16" s="37" t="s">
        <v>231</v>
      </c>
      <c r="Z16" s="37" t="s">
        <v>231</v>
      </c>
      <c r="AB16" s="37">
        <v>1</v>
      </c>
      <c r="AC16" s="37">
        <v>1</v>
      </c>
      <c r="AD16" s="37">
        <v>1</v>
      </c>
      <c r="AE16" s="37">
        <v>1</v>
      </c>
      <c r="AG16" s="38">
        <f t="shared" si="1"/>
        <v>1</v>
      </c>
      <c r="AH16" s="38">
        <f t="shared" si="1"/>
        <v>1</v>
      </c>
      <c r="AI16" s="38">
        <f t="shared" si="1"/>
        <v>1</v>
      </c>
      <c r="AJ16" s="38">
        <f t="shared" si="1"/>
        <v>1</v>
      </c>
      <c r="AN16" s="39">
        <f t="shared" ca="1" si="6"/>
        <v>2</v>
      </c>
      <c r="AO16" s="39">
        <f t="shared" ca="1" si="7"/>
        <v>2</v>
      </c>
      <c r="AP16" s="39">
        <f t="shared" ca="1" si="8"/>
        <v>2</v>
      </c>
      <c r="AQ16" s="39">
        <f t="shared" ca="1" si="9"/>
        <v>2</v>
      </c>
    </row>
    <row r="17" spans="1:43" ht="75" customHeight="1">
      <c r="A17" s="32">
        <f t="shared" ca="1" si="2"/>
        <v>7</v>
      </c>
      <c r="B17" s="33" t="str">
        <f t="shared" si="3"/>
        <v>National 
(nicht regional spezifiziert)</v>
      </c>
      <c r="C17" s="33" t="str">
        <f t="shared" si="4"/>
        <v>1979 ... 1983</v>
      </c>
      <c r="D17" s="33" t="str">
        <f t="shared" si="5"/>
        <v>Generic 
(Basis-Typ)</v>
      </c>
      <c r="E17" s="34" t="str">
        <f t="shared" ca="1" si="0"/>
        <v>DE.N.SFH.07.Gen</v>
      </c>
      <c r="F17" s="34" t="str">
        <f t="shared" ca="1" si="0"/>
        <v>DE.N.TH.07.Gen</v>
      </c>
      <c r="G17" s="34" t="str">
        <f t="shared" ca="1" si="0"/>
        <v>DE.N.MFH.07.Gen</v>
      </c>
      <c r="H17" s="34" t="str">
        <f t="shared" si="0"/>
        <v/>
      </c>
      <c r="I17" s="35"/>
      <c r="J17" s="40" t="str">
        <f t="shared" ca="1" si="10"/>
        <v>DE</v>
      </c>
      <c r="K17" s="41" t="s">
        <v>60</v>
      </c>
      <c r="L17" s="37" t="s">
        <v>226</v>
      </c>
      <c r="M17" s="37" t="s">
        <v>227</v>
      </c>
      <c r="N17" s="41">
        <v>7</v>
      </c>
      <c r="O17" s="41">
        <v>1979</v>
      </c>
      <c r="P17" s="41">
        <v>1983</v>
      </c>
      <c r="Q17" s="41" t="s">
        <v>228</v>
      </c>
      <c r="R17" s="37" t="s">
        <v>229</v>
      </c>
      <c r="S17" s="37" t="s">
        <v>230</v>
      </c>
      <c r="T17" s="42"/>
      <c r="U17" s="42"/>
      <c r="W17" s="37" t="s">
        <v>231</v>
      </c>
      <c r="X17" s="37" t="s">
        <v>231</v>
      </c>
      <c r="Y17" s="37" t="s">
        <v>231</v>
      </c>
      <c r="Z17" s="37"/>
      <c r="AB17" s="37">
        <v>1</v>
      </c>
      <c r="AC17" s="37">
        <v>1</v>
      </c>
      <c r="AD17" s="37">
        <v>1</v>
      </c>
      <c r="AE17" s="37">
        <v>1</v>
      </c>
      <c r="AG17" s="38">
        <f t="shared" si="1"/>
        <v>1</v>
      </c>
      <c r="AH17" s="38">
        <f t="shared" si="1"/>
        <v>1</v>
      </c>
      <c r="AI17" s="38">
        <f t="shared" si="1"/>
        <v>1</v>
      </c>
      <c r="AJ17" s="38">
        <f t="shared" si="1"/>
        <v>1</v>
      </c>
      <c r="AN17" s="39">
        <f t="shared" ca="1" si="6"/>
        <v>2</v>
      </c>
      <c r="AO17" s="39">
        <f t="shared" ca="1" si="7"/>
        <v>1</v>
      </c>
      <c r="AP17" s="39">
        <f t="shared" ca="1" si="8"/>
        <v>2</v>
      </c>
      <c r="AQ17" s="39">
        <f t="shared" ca="1" si="9"/>
        <v>1</v>
      </c>
    </row>
    <row r="18" spans="1:43" ht="75" customHeight="1">
      <c r="A18" s="32">
        <f t="shared" ca="1" si="2"/>
        <v>8</v>
      </c>
      <c r="B18" s="33" t="str">
        <f t="shared" si="3"/>
        <v>National 
(nicht regional spezifiziert)</v>
      </c>
      <c r="C18" s="33" t="str">
        <f t="shared" si="4"/>
        <v>1984 ... 1994</v>
      </c>
      <c r="D18" s="33" t="str">
        <f t="shared" si="5"/>
        <v>Generic 
(Basis-Typ)</v>
      </c>
      <c r="E18" s="34" t="str">
        <f t="shared" ca="1" si="0"/>
        <v>DE.N.SFH.08.Gen</v>
      </c>
      <c r="F18" s="34" t="str">
        <f t="shared" ca="1" si="0"/>
        <v>DE.N.TH.08.Gen</v>
      </c>
      <c r="G18" s="34" t="str">
        <f t="shared" ca="1" si="0"/>
        <v>DE.N.MFH.08.Gen</v>
      </c>
      <c r="H18" s="34" t="str">
        <f t="shared" si="0"/>
        <v/>
      </c>
      <c r="I18" s="35"/>
      <c r="J18" s="40" t="str">
        <f t="shared" ca="1" si="10"/>
        <v>DE</v>
      </c>
      <c r="K18" s="41" t="s">
        <v>60</v>
      </c>
      <c r="L18" s="37" t="s">
        <v>226</v>
      </c>
      <c r="M18" s="37" t="s">
        <v>227</v>
      </c>
      <c r="N18" s="41">
        <v>8</v>
      </c>
      <c r="O18" s="41">
        <v>1984</v>
      </c>
      <c r="P18" s="41">
        <v>1994</v>
      </c>
      <c r="Q18" s="41" t="s">
        <v>228</v>
      </c>
      <c r="R18" s="37" t="s">
        <v>229</v>
      </c>
      <c r="S18" s="37" t="s">
        <v>230</v>
      </c>
      <c r="T18" s="42"/>
      <c r="U18" s="42"/>
      <c r="W18" s="37" t="s">
        <v>231</v>
      </c>
      <c r="X18" s="37" t="s">
        <v>231</v>
      </c>
      <c r="Y18" s="37" t="s">
        <v>231</v>
      </c>
      <c r="Z18" s="37"/>
      <c r="AB18" s="37">
        <v>1</v>
      </c>
      <c r="AC18" s="37">
        <v>1</v>
      </c>
      <c r="AD18" s="37">
        <v>1</v>
      </c>
      <c r="AE18" s="37">
        <v>1</v>
      </c>
      <c r="AG18" s="38">
        <f t="shared" si="1"/>
        <v>1</v>
      </c>
      <c r="AH18" s="38">
        <f t="shared" si="1"/>
        <v>1</v>
      </c>
      <c r="AI18" s="38">
        <f t="shared" si="1"/>
        <v>1</v>
      </c>
      <c r="AJ18" s="38">
        <f t="shared" si="1"/>
        <v>1</v>
      </c>
      <c r="AN18" s="39">
        <f t="shared" ca="1" si="6"/>
        <v>2</v>
      </c>
      <c r="AO18" s="39">
        <f t="shared" ca="1" si="7"/>
        <v>1</v>
      </c>
      <c r="AP18" s="39">
        <f t="shared" ca="1" si="8"/>
        <v>2</v>
      </c>
      <c r="AQ18" s="39">
        <f t="shared" ca="1" si="9"/>
        <v>1</v>
      </c>
    </row>
    <row r="19" spans="1:43" ht="75" customHeight="1">
      <c r="A19" s="32">
        <f t="shared" ca="1" si="2"/>
        <v>9</v>
      </c>
      <c r="B19" s="33" t="str">
        <f t="shared" si="3"/>
        <v>National 
(nicht regional spezifiziert)</v>
      </c>
      <c r="C19" s="33" t="str">
        <f t="shared" si="4"/>
        <v>1995 ... 2001</v>
      </c>
      <c r="D19" s="33" t="str">
        <f t="shared" si="5"/>
        <v>Generic 
(Basis-Typ)</v>
      </c>
      <c r="E19" s="34" t="str">
        <f t="shared" ca="1" si="0"/>
        <v>DE.N.SFH.09.Gen</v>
      </c>
      <c r="F19" s="34" t="str">
        <f t="shared" ca="1" si="0"/>
        <v>DE.N.TH.09.Gen</v>
      </c>
      <c r="G19" s="34" t="str">
        <f t="shared" ca="1" si="0"/>
        <v>DE.N.MFH.09.Gen</v>
      </c>
      <c r="H19" s="34" t="str">
        <f t="shared" si="0"/>
        <v/>
      </c>
      <c r="I19" s="35"/>
      <c r="J19" s="40" t="str">
        <f t="shared" ca="1" si="10"/>
        <v>DE</v>
      </c>
      <c r="K19" s="41" t="s">
        <v>60</v>
      </c>
      <c r="L19" s="37" t="s">
        <v>226</v>
      </c>
      <c r="M19" s="37" t="s">
        <v>227</v>
      </c>
      <c r="N19" s="41">
        <v>9</v>
      </c>
      <c r="O19" s="41">
        <v>1995</v>
      </c>
      <c r="P19" s="41">
        <v>2001</v>
      </c>
      <c r="Q19" s="41" t="s">
        <v>228</v>
      </c>
      <c r="R19" s="37" t="s">
        <v>229</v>
      </c>
      <c r="S19" s="37" t="s">
        <v>230</v>
      </c>
      <c r="T19" s="42"/>
      <c r="U19" s="42"/>
      <c r="W19" s="37" t="s">
        <v>231</v>
      </c>
      <c r="X19" s="37" t="s">
        <v>231</v>
      </c>
      <c r="Y19" s="37" t="s">
        <v>231</v>
      </c>
      <c r="Z19" s="37"/>
      <c r="AB19" s="37">
        <v>1</v>
      </c>
      <c r="AC19" s="37">
        <v>1</v>
      </c>
      <c r="AD19" s="37">
        <v>1</v>
      </c>
      <c r="AE19" s="37">
        <v>1</v>
      </c>
      <c r="AG19" s="38">
        <f t="shared" si="1"/>
        <v>1</v>
      </c>
      <c r="AH19" s="38">
        <f t="shared" si="1"/>
        <v>1</v>
      </c>
      <c r="AI19" s="38">
        <f t="shared" si="1"/>
        <v>1</v>
      </c>
      <c r="AJ19" s="38">
        <f t="shared" si="1"/>
        <v>1</v>
      </c>
      <c r="AN19" s="39">
        <f t="shared" ca="1" si="6"/>
        <v>2</v>
      </c>
      <c r="AO19" s="39">
        <f t="shared" ca="1" si="7"/>
        <v>1</v>
      </c>
      <c r="AP19" s="39">
        <f t="shared" ca="1" si="8"/>
        <v>2</v>
      </c>
      <c r="AQ19" s="39">
        <f t="shared" ca="1" si="9"/>
        <v>1</v>
      </c>
    </row>
    <row r="20" spans="1:43" ht="75" customHeight="1">
      <c r="A20" s="32">
        <f t="shared" ca="1" si="2"/>
        <v>10</v>
      </c>
      <c r="B20" s="33" t="str">
        <f t="shared" si="3"/>
        <v>National 
(nicht regional spezifiziert)</v>
      </c>
      <c r="C20" s="33" t="str">
        <f t="shared" si="4"/>
        <v>2002 ... 2009</v>
      </c>
      <c r="D20" s="33" t="str">
        <f t="shared" si="5"/>
        <v>Generic 
(Basis-Typ)</v>
      </c>
      <c r="E20" s="34" t="str">
        <f t="shared" ca="1" si="0"/>
        <v>DE.N.SFH.10.Gen</v>
      </c>
      <c r="F20" s="34" t="str">
        <f t="shared" ca="1" si="0"/>
        <v>DE.N.TH.10.Gen</v>
      </c>
      <c r="G20" s="34" t="str">
        <f t="shared" ca="1" si="0"/>
        <v>DE.N.MFH.10.Gen</v>
      </c>
      <c r="H20" s="34" t="str">
        <f t="shared" si="0"/>
        <v/>
      </c>
      <c r="I20" s="35"/>
      <c r="J20" s="40" t="str">
        <f t="shared" ca="1" si="10"/>
        <v>DE</v>
      </c>
      <c r="K20" s="41" t="s">
        <v>60</v>
      </c>
      <c r="L20" s="37" t="s">
        <v>226</v>
      </c>
      <c r="M20" s="37" t="s">
        <v>227</v>
      </c>
      <c r="N20" s="41">
        <v>10</v>
      </c>
      <c r="O20" s="41">
        <v>2002</v>
      </c>
      <c r="P20" s="41">
        <v>2009</v>
      </c>
      <c r="Q20" s="41" t="s">
        <v>228</v>
      </c>
      <c r="R20" s="37" t="s">
        <v>229</v>
      </c>
      <c r="S20" s="37" t="s">
        <v>230</v>
      </c>
      <c r="T20" s="42"/>
      <c r="U20" s="42"/>
      <c r="W20" s="37" t="s">
        <v>231</v>
      </c>
      <c r="X20" s="37" t="s">
        <v>231</v>
      </c>
      <c r="Y20" s="37" t="s">
        <v>231</v>
      </c>
      <c r="Z20" s="37"/>
      <c r="AB20" s="37">
        <v>1</v>
      </c>
      <c r="AC20" s="37">
        <v>1</v>
      </c>
      <c r="AD20" s="37">
        <v>1</v>
      </c>
      <c r="AE20" s="37">
        <v>1</v>
      </c>
      <c r="AG20" s="38">
        <f t="shared" si="1"/>
        <v>1</v>
      </c>
      <c r="AH20" s="38">
        <f t="shared" si="1"/>
        <v>1</v>
      </c>
      <c r="AI20" s="38">
        <f t="shared" si="1"/>
        <v>1</v>
      </c>
      <c r="AJ20" s="38">
        <f t="shared" si="1"/>
        <v>1</v>
      </c>
      <c r="AN20" s="39">
        <f t="shared" ca="1" si="6"/>
        <v>2</v>
      </c>
      <c r="AO20" s="39">
        <f t="shared" ca="1" si="7"/>
        <v>1</v>
      </c>
      <c r="AP20" s="39">
        <f t="shared" ca="1" si="8"/>
        <v>2</v>
      </c>
      <c r="AQ20" s="39">
        <f t="shared" ca="1" si="9"/>
        <v>1</v>
      </c>
    </row>
    <row r="21" spans="1:43" ht="75" customHeight="1">
      <c r="A21" s="32">
        <f t="shared" ca="1" si="2"/>
        <v>11</v>
      </c>
      <c r="B21" s="33" t="str">
        <f t="shared" si="3"/>
        <v>National 
(nicht regional spezifiziert)</v>
      </c>
      <c r="C21" s="33" t="str">
        <f t="shared" si="4"/>
        <v>2010 ... 2015</v>
      </c>
      <c r="D21" s="33" t="str">
        <f t="shared" si="5"/>
        <v>Generic 
(Basis-Typ)</v>
      </c>
      <c r="E21" s="34" t="str">
        <f t="shared" ca="1" si="0"/>
        <v>DE.N.SFH.11.Gen</v>
      </c>
      <c r="F21" s="34" t="str">
        <f t="shared" ca="1" si="0"/>
        <v>DE.N.TH.11.Gen</v>
      </c>
      <c r="G21" s="34" t="str">
        <f t="shared" ca="1" si="0"/>
        <v>DE.N.MFH.11.Gen</v>
      </c>
      <c r="H21" s="34" t="str">
        <f t="shared" si="0"/>
        <v/>
      </c>
      <c r="I21" s="35"/>
      <c r="J21" s="40" t="str">
        <f t="shared" ca="1" si="10"/>
        <v>DE</v>
      </c>
      <c r="K21" s="41" t="s">
        <v>60</v>
      </c>
      <c r="L21" s="37" t="s">
        <v>226</v>
      </c>
      <c r="M21" s="37" t="s">
        <v>227</v>
      </c>
      <c r="N21" s="41">
        <v>11</v>
      </c>
      <c r="O21" s="41">
        <v>2010</v>
      </c>
      <c r="P21" s="41">
        <v>2015</v>
      </c>
      <c r="Q21" s="41" t="s">
        <v>228</v>
      </c>
      <c r="R21" s="37" t="s">
        <v>229</v>
      </c>
      <c r="S21" s="37" t="s">
        <v>230</v>
      </c>
      <c r="T21" s="42"/>
      <c r="U21" s="42"/>
      <c r="W21" s="37" t="s">
        <v>231</v>
      </c>
      <c r="X21" s="37" t="s">
        <v>231</v>
      </c>
      <c r="Y21" s="37" t="s">
        <v>231</v>
      </c>
      <c r="Z21" s="37"/>
      <c r="AB21" s="37">
        <v>1</v>
      </c>
      <c r="AC21" s="37">
        <v>1</v>
      </c>
      <c r="AD21" s="37">
        <v>1</v>
      </c>
      <c r="AE21" s="37">
        <v>1</v>
      </c>
      <c r="AG21" s="38">
        <f t="shared" si="1"/>
        <v>1</v>
      </c>
      <c r="AH21" s="38">
        <f t="shared" si="1"/>
        <v>1</v>
      </c>
      <c r="AI21" s="38">
        <f t="shared" si="1"/>
        <v>1</v>
      </c>
      <c r="AJ21" s="38">
        <f t="shared" si="1"/>
        <v>1</v>
      </c>
      <c r="AN21" s="39">
        <f t="shared" ca="1" si="6"/>
        <v>2</v>
      </c>
      <c r="AO21" s="39">
        <f t="shared" ca="1" si="7"/>
        <v>1</v>
      </c>
      <c r="AP21" s="39">
        <f t="shared" ca="1" si="8"/>
        <v>2</v>
      </c>
      <c r="AQ21" s="39">
        <f t="shared" ca="1" si="9"/>
        <v>1</v>
      </c>
    </row>
    <row r="22" spans="1:43" ht="75" customHeight="1">
      <c r="A22" s="32">
        <f t="shared" ca="1" si="2"/>
        <v>12</v>
      </c>
      <c r="B22" s="33" t="str">
        <f t="shared" si="3"/>
        <v>National 
(nicht regional spezifiziert)</v>
      </c>
      <c r="C22" s="33" t="str">
        <f t="shared" si="4"/>
        <v xml:space="preserve">2016 ... </v>
      </c>
      <c r="D22" s="33" t="str">
        <f t="shared" si="5"/>
        <v>Generic 
(Basis-Typ)</v>
      </c>
      <c r="E22" s="34" t="str">
        <f t="shared" ca="1" si="0"/>
        <v>DE.N.SFH.12.Gen</v>
      </c>
      <c r="F22" s="34" t="str">
        <f t="shared" ca="1" si="0"/>
        <v>DE.N.TH.12.Gen</v>
      </c>
      <c r="G22" s="34" t="str">
        <f t="shared" ca="1" si="0"/>
        <v>DE.N.MFH.12.Gen</v>
      </c>
      <c r="H22" s="34" t="str">
        <f t="shared" si="0"/>
        <v/>
      </c>
      <c r="I22" s="35"/>
      <c r="J22" s="40" t="str">
        <f t="shared" ca="1" si="10"/>
        <v>DE</v>
      </c>
      <c r="K22" s="41" t="s">
        <v>60</v>
      </c>
      <c r="L22" s="37" t="s">
        <v>226</v>
      </c>
      <c r="M22" s="37" t="s">
        <v>227</v>
      </c>
      <c r="N22" s="41">
        <v>12</v>
      </c>
      <c r="O22" s="41">
        <v>2016</v>
      </c>
      <c r="P22" s="41">
        <v>9999</v>
      </c>
      <c r="Q22" s="41" t="s">
        <v>228</v>
      </c>
      <c r="R22" s="37" t="s">
        <v>229</v>
      </c>
      <c r="S22" s="37" t="s">
        <v>230</v>
      </c>
      <c r="T22" s="42"/>
      <c r="U22" s="42"/>
      <c r="W22" s="37" t="s">
        <v>231</v>
      </c>
      <c r="X22" s="37" t="s">
        <v>231</v>
      </c>
      <c r="Y22" s="37" t="s">
        <v>231</v>
      </c>
      <c r="Z22" s="37"/>
      <c r="AB22" s="37">
        <v>1</v>
      </c>
      <c r="AC22" s="37">
        <v>1</v>
      </c>
      <c r="AD22" s="37">
        <v>1</v>
      </c>
      <c r="AE22" s="37">
        <v>1</v>
      </c>
      <c r="AG22" s="38">
        <f>IF(AND($K22="N",$Q22="Gen"),1,IF(OR($K22&lt;&gt;$K20,$Q22&lt;&gt;$Q20),MOD(AG20+1,2)+2,AG20))</f>
        <v>1</v>
      </c>
      <c r="AH22" s="38">
        <f>IF(AND($K22="N",$Q22="Gen"),1,IF(OR($K22&lt;&gt;$K20,$Q22&lt;&gt;$Q20),MOD(AH20+1,2)+2,AH20))</f>
        <v>1</v>
      </c>
      <c r="AI22" s="38">
        <f>IF(AND($K22="N",$Q22="Gen"),1,IF(OR($K22&lt;&gt;$K20,$Q22&lt;&gt;$Q20),MOD(AI20+1,2)+2,AI20))</f>
        <v>1</v>
      </c>
      <c r="AJ22" s="38">
        <f>IF(AND($K22="N",$Q22="Gen"),1,IF(OR($K22&lt;&gt;$K20,$Q22&lt;&gt;$Q20),MOD(AJ20+1,2)+2,AJ20))</f>
        <v>1</v>
      </c>
      <c r="AN22" s="39">
        <f t="shared" ca="1" si="6"/>
        <v>2</v>
      </c>
      <c r="AO22" s="39">
        <f t="shared" ca="1" si="7"/>
        <v>1</v>
      </c>
      <c r="AP22" s="39">
        <f t="shared" ca="1" si="8"/>
        <v>2</v>
      </c>
      <c r="AQ22" s="39">
        <f t="shared" ca="1" si="9"/>
        <v>1</v>
      </c>
    </row>
    <row r="23" spans="1:43" ht="75" customHeight="1">
      <c r="A23" s="32">
        <f ca="1">OFFSET(A23,-1,0)+1</f>
        <v>13</v>
      </c>
      <c r="B23" s="33" t="str">
        <f t="shared" si="3"/>
        <v>National 
(nicht regional spezifiziert)</v>
      </c>
      <c r="C23" s="33" t="str">
        <f t="shared" si="4"/>
        <v>1969 ... 1978</v>
      </c>
      <c r="D23" s="33" t="str">
        <f t="shared" si="5"/>
        <v>Light Frame Structure 
(Fertighaus / Leichtbau)</v>
      </c>
      <c r="E23" s="34" t="str">
        <f t="shared" ca="1" si="0"/>
        <v>DE.N.SFH.06.LightFrame</v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5"/>
      <c r="J23" s="40" t="str">
        <f ca="1">OFFSET(J23,-1,0)</f>
        <v>DE</v>
      </c>
      <c r="K23" s="41" t="s">
        <v>60</v>
      </c>
      <c r="L23" s="37" t="s">
        <v>226</v>
      </c>
      <c r="M23" s="37" t="s">
        <v>227</v>
      </c>
      <c r="N23" s="41">
        <v>6</v>
      </c>
      <c r="O23" s="41">
        <v>1969</v>
      </c>
      <c r="P23" s="41">
        <v>1978</v>
      </c>
      <c r="Q23" s="41" t="s">
        <v>232</v>
      </c>
      <c r="R23" s="37" t="s">
        <v>233</v>
      </c>
      <c r="S23" s="37" t="s">
        <v>234</v>
      </c>
      <c r="T23" s="42" t="s">
        <v>235</v>
      </c>
      <c r="U23" s="42"/>
      <c r="W23" s="37" t="s">
        <v>231</v>
      </c>
      <c r="X23" s="37"/>
      <c r="Y23" s="37"/>
      <c r="Z23" s="37"/>
      <c r="AB23" s="37">
        <v>1</v>
      </c>
      <c r="AC23" s="37">
        <v>1</v>
      </c>
      <c r="AD23" s="37">
        <v>1</v>
      </c>
      <c r="AE23" s="37">
        <v>1</v>
      </c>
      <c r="AG23" s="38">
        <f t="shared" si="1"/>
        <v>2</v>
      </c>
      <c r="AH23" s="38">
        <f t="shared" si="1"/>
        <v>2</v>
      </c>
      <c r="AI23" s="38">
        <f t="shared" si="1"/>
        <v>2</v>
      </c>
      <c r="AJ23" s="38">
        <f t="shared" si="1"/>
        <v>2</v>
      </c>
      <c r="AN23" s="39">
        <f t="shared" ca="1" si="6"/>
        <v>1</v>
      </c>
      <c r="AO23" s="39">
        <f t="shared" si="7"/>
        <v>0</v>
      </c>
      <c r="AP23" s="39">
        <f t="shared" si="8"/>
        <v>0</v>
      </c>
      <c r="AQ23" s="39">
        <f t="shared" si="9"/>
        <v>0</v>
      </c>
    </row>
    <row r="24" spans="1:43" ht="75" customHeight="1">
      <c r="A24" s="32">
        <f ca="1">OFFSET(A24,-1,0)+1</f>
        <v>14</v>
      </c>
      <c r="B24" s="33" t="str">
        <f t="shared" si="3"/>
        <v>National 
(nicht regional spezifiziert)</v>
      </c>
      <c r="C24" s="33" t="str">
        <f t="shared" si="4"/>
        <v>1958 ... 1968</v>
      </c>
      <c r="D24" s="33" t="str">
        <f t="shared" si="5"/>
        <v>High-Rise Building 
(Hochhaus)</v>
      </c>
      <c r="E24" s="34" t="str">
        <f t="shared" si="0"/>
        <v/>
      </c>
      <c r="F24" s="34" t="str">
        <f t="shared" si="0"/>
        <v/>
      </c>
      <c r="G24" s="34" t="str">
        <f t="shared" si="0"/>
        <v/>
      </c>
      <c r="H24" s="34" t="str">
        <f t="shared" ca="1" si="0"/>
        <v>DE.N.AB.05.HR</v>
      </c>
      <c r="I24" s="35"/>
      <c r="J24" s="40" t="str">
        <f ca="1">OFFSET(J24,-1,0)</f>
        <v>DE</v>
      </c>
      <c r="K24" s="41" t="s">
        <v>60</v>
      </c>
      <c r="L24" s="37" t="s">
        <v>226</v>
      </c>
      <c r="M24" s="37" t="s">
        <v>227</v>
      </c>
      <c r="N24" s="41">
        <v>5</v>
      </c>
      <c r="O24" s="41">
        <v>1958</v>
      </c>
      <c r="P24" s="41">
        <v>1968</v>
      </c>
      <c r="Q24" s="41" t="s">
        <v>236</v>
      </c>
      <c r="R24" s="42" t="s">
        <v>237</v>
      </c>
      <c r="S24" s="42" t="s">
        <v>238</v>
      </c>
      <c r="T24" s="42" t="s">
        <v>239</v>
      </c>
      <c r="U24" s="42"/>
      <c r="W24" s="37"/>
      <c r="X24" s="37"/>
      <c r="Y24" s="37"/>
      <c r="Z24" s="37" t="s">
        <v>231</v>
      </c>
      <c r="AB24" s="37">
        <v>1</v>
      </c>
      <c r="AC24" s="37">
        <v>1</v>
      </c>
      <c r="AD24" s="37">
        <v>1</v>
      </c>
      <c r="AE24" s="37">
        <v>1</v>
      </c>
      <c r="AG24" s="38">
        <f t="shared" si="1"/>
        <v>3</v>
      </c>
      <c r="AH24" s="38">
        <f t="shared" si="1"/>
        <v>3</v>
      </c>
      <c r="AI24" s="38">
        <f t="shared" si="1"/>
        <v>3</v>
      </c>
      <c r="AJ24" s="38">
        <f t="shared" si="1"/>
        <v>3</v>
      </c>
      <c r="AN24" s="39">
        <f t="shared" si="6"/>
        <v>0</v>
      </c>
      <c r="AO24" s="39">
        <f t="shared" ca="1" si="7"/>
        <v>1</v>
      </c>
      <c r="AP24" s="39">
        <f t="shared" si="8"/>
        <v>0</v>
      </c>
      <c r="AQ24" s="39">
        <f t="shared" si="9"/>
        <v>0</v>
      </c>
    </row>
    <row r="25" spans="1:43" ht="75" customHeight="1">
      <c r="A25" s="32">
        <f t="shared" ca="1" si="2"/>
        <v>15</v>
      </c>
      <c r="B25" s="33" t="str">
        <f t="shared" si="3"/>
        <v>National 
(nicht regional spezifiziert)</v>
      </c>
      <c r="C25" s="33" t="str">
        <f t="shared" si="4"/>
        <v>1969 ... 1978</v>
      </c>
      <c r="D25" s="33" t="str">
        <f t="shared" si="5"/>
        <v>High-Rise Building 
(Hochhaus)</v>
      </c>
      <c r="E25" s="34" t="str">
        <f t="shared" si="0"/>
        <v/>
      </c>
      <c r="F25" s="34" t="str">
        <f t="shared" si="0"/>
        <v/>
      </c>
      <c r="G25" s="34" t="str">
        <f t="shared" si="0"/>
        <v/>
      </c>
      <c r="H25" s="34" t="str">
        <f t="shared" ca="1" si="0"/>
        <v>DE.N.AB.06.HR</v>
      </c>
      <c r="I25" s="35"/>
      <c r="J25" s="40" t="str">
        <f t="shared" ca="1" si="10"/>
        <v>DE</v>
      </c>
      <c r="K25" s="41" t="s">
        <v>60</v>
      </c>
      <c r="L25" s="37" t="s">
        <v>226</v>
      </c>
      <c r="M25" s="37" t="s">
        <v>227</v>
      </c>
      <c r="N25" s="41">
        <v>6</v>
      </c>
      <c r="O25" s="41">
        <v>1969</v>
      </c>
      <c r="P25" s="41">
        <v>1978</v>
      </c>
      <c r="Q25" s="41" t="s">
        <v>236</v>
      </c>
      <c r="R25" s="42" t="s">
        <v>237</v>
      </c>
      <c r="S25" s="42" t="s">
        <v>238</v>
      </c>
      <c r="T25" s="42" t="s">
        <v>239</v>
      </c>
      <c r="U25" s="42"/>
      <c r="W25" s="37"/>
      <c r="X25" s="37"/>
      <c r="Y25" s="37"/>
      <c r="Z25" s="37" t="s">
        <v>231</v>
      </c>
      <c r="AB25" s="37">
        <v>1</v>
      </c>
      <c r="AC25" s="37">
        <v>1</v>
      </c>
      <c r="AD25" s="37">
        <v>1</v>
      </c>
      <c r="AE25" s="37">
        <v>1</v>
      </c>
      <c r="AG25" s="38">
        <f t="shared" si="1"/>
        <v>3</v>
      </c>
      <c r="AH25" s="38">
        <f t="shared" si="1"/>
        <v>3</v>
      </c>
      <c r="AI25" s="38">
        <f t="shared" si="1"/>
        <v>3</v>
      </c>
      <c r="AJ25" s="38">
        <f t="shared" si="1"/>
        <v>3</v>
      </c>
      <c r="AN25" s="39">
        <f t="shared" si="6"/>
        <v>0</v>
      </c>
      <c r="AO25" s="39">
        <f t="shared" ca="1" si="7"/>
        <v>1</v>
      </c>
      <c r="AP25" s="39">
        <f t="shared" si="8"/>
        <v>0</v>
      </c>
      <c r="AQ25" s="39">
        <f t="shared" si="9"/>
        <v>0</v>
      </c>
    </row>
    <row r="26" spans="1:43" ht="75" customHeight="1">
      <c r="A26" s="32">
        <f t="shared" ca="1" si="2"/>
        <v>16</v>
      </c>
      <c r="B26" s="33" t="str">
        <f t="shared" si="3"/>
        <v>Eastern Germany / former GDR 
(neue Bundesländer)</v>
      </c>
      <c r="C26" s="33" t="str">
        <f t="shared" si="4"/>
        <v>1949 ... 1957</v>
      </c>
      <c r="D26" s="33" t="str">
        <f t="shared" si="5"/>
        <v>Generic 
(Basis-Typ)</v>
      </c>
      <c r="E26" s="34" t="str">
        <f t="shared" si="0"/>
        <v/>
      </c>
      <c r="F26" s="34" t="str">
        <f t="shared" si="0"/>
        <v/>
      </c>
      <c r="G26" s="34" t="str">
        <f t="shared" ca="1" si="0"/>
        <v>DE.East.MFH.04.Gen</v>
      </c>
      <c r="H26" s="34" t="str">
        <f t="shared" si="0"/>
        <v/>
      </c>
      <c r="I26" s="35"/>
      <c r="J26" s="40" t="str">
        <f t="shared" ca="1" si="10"/>
        <v>DE</v>
      </c>
      <c r="K26" s="41" t="s">
        <v>240</v>
      </c>
      <c r="L26" s="42" t="s">
        <v>241</v>
      </c>
      <c r="M26" s="42" t="s">
        <v>242</v>
      </c>
      <c r="N26" s="41">
        <v>4</v>
      </c>
      <c r="O26" s="41">
        <v>1949</v>
      </c>
      <c r="P26" s="41">
        <v>1957</v>
      </c>
      <c r="Q26" s="41" t="s">
        <v>228</v>
      </c>
      <c r="R26" s="42" t="s">
        <v>229</v>
      </c>
      <c r="S26" s="37" t="s">
        <v>230</v>
      </c>
      <c r="T26" s="42" t="s">
        <v>243</v>
      </c>
      <c r="U26" s="42"/>
      <c r="W26" s="37"/>
      <c r="X26" s="37"/>
      <c r="Y26" s="37" t="s">
        <v>231</v>
      </c>
      <c r="Z26" s="37"/>
      <c r="AB26" s="37">
        <v>1</v>
      </c>
      <c r="AC26" s="37">
        <v>1</v>
      </c>
      <c r="AD26" s="37">
        <v>1</v>
      </c>
      <c r="AE26" s="37">
        <v>1</v>
      </c>
      <c r="AG26" s="38">
        <f t="shared" si="1"/>
        <v>2</v>
      </c>
      <c r="AH26" s="38">
        <f t="shared" si="1"/>
        <v>2</v>
      </c>
      <c r="AI26" s="38">
        <f t="shared" si="1"/>
        <v>2</v>
      </c>
      <c r="AJ26" s="38">
        <f t="shared" si="1"/>
        <v>2</v>
      </c>
      <c r="AN26" s="39">
        <f t="shared" si="6"/>
        <v>0</v>
      </c>
      <c r="AO26" s="39">
        <f t="shared" ca="1" si="7"/>
        <v>1</v>
      </c>
      <c r="AP26" s="39">
        <f t="shared" si="8"/>
        <v>0</v>
      </c>
      <c r="AQ26" s="39">
        <f t="shared" ca="1" si="9"/>
        <v>1</v>
      </c>
    </row>
    <row r="27" spans="1:43" ht="75" customHeight="1">
      <c r="A27" s="32">
        <f t="shared" ca="1" si="2"/>
        <v>17</v>
      </c>
      <c r="B27" s="33" t="str">
        <f t="shared" si="3"/>
        <v>Eastern Germany / former GDR 
(neue Bundesländer)</v>
      </c>
      <c r="C27" s="33" t="str">
        <f t="shared" si="4"/>
        <v>1958 ... 1968</v>
      </c>
      <c r="D27" s="33" t="str">
        <f t="shared" si="5"/>
        <v>Generic 
(Basis-Typ)</v>
      </c>
      <c r="E27" s="34" t="str">
        <f t="shared" si="0"/>
        <v/>
      </c>
      <c r="F27" s="34" t="str">
        <f t="shared" si="0"/>
        <v/>
      </c>
      <c r="G27" s="34" t="str">
        <f t="shared" ca="1" si="0"/>
        <v>DE.East.MFH.05.Gen</v>
      </c>
      <c r="H27" s="34" t="str">
        <f t="shared" si="0"/>
        <v/>
      </c>
      <c r="I27" s="35"/>
      <c r="J27" s="40" t="str">
        <f t="shared" ca="1" si="10"/>
        <v>DE</v>
      </c>
      <c r="K27" s="41" t="s">
        <v>240</v>
      </c>
      <c r="L27" s="42" t="s">
        <v>241</v>
      </c>
      <c r="M27" s="42" t="s">
        <v>242</v>
      </c>
      <c r="N27" s="41">
        <v>5</v>
      </c>
      <c r="O27" s="41">
        <v>1958</v>
      </c>
      <c r="P27" s="41">
        <v>1968</v>
      </c>
      <c r="Q27" s="41" t="s">
        <v>228</v>
      </c>
      <c r="R27" s="42" t="s">
        <v>229</v>
      </c>
      <c r="S27" s="37" t="s">
        <v>230</v>
      </c>
      <c r="T27" s="42" t="s">
        <v>243</v>
      </c>
      <c r="U27" s="42"/>
      <c r="W27" s="37"/>
      <c r="X27" s="37"/>
      <c r="Y27" s="37" t="s">
        <v>231</v>
      </c>
      <c r="Z27" s="37"/>
      <c r="AB27" s="37">
        <v>1</v>
      </c>
      <c r="AC27" s="37">
        <v>1</v>
      </c>
      <c r="AD27" s="37">
        <v>1</v>
      </c>
      <c r="AE27" s="37">
        <v>1</v>
      </c>
      <c r="AG27" s="38">
        <f t="shared" ref="AG27:AJ42" si="11">IF(AND($K27="N",$Q27="Gen"),1,IF(OR($K27&lt;&gt;$K26,$Q27&lt;&gt;$Q26),MOD(AG26+1,2)+2,AG26))</f>
        <v>2</v>
      </c>
      <c r="AH27" s="38">
        <f t="shared" si="11"/>
        <v>2</v>
      </c>
      <c r="AI27" s="38">
        <f t="shared" si="11"/>
        <v>2</v>
      </c>
      <c r="AJ27" s="38">
        <f t="shared" si="11"/>
        <v>2</v>
      </c>
      <c r="AN27" s="39">
        <f t="shared" si="6"/>
        <v>0</v>
      </c>
      <c r="AO27" s="39">
        <f t="shared" ca="1" si="7"/>
        <v>1</v>
      </c>
      <c r="AP27" s="39">
        <f t="shared" si="8"/>
        <v>0</v>
      </c>
      <c r="AQ27" s="39">
        <f t="shared" ca="1" si="9"/>
        <v>1</v>
      </c>
    </row>
    <row r="28" spans="1:43" ht="75" customHeight="1">
      <c r="A28" s="32">
        <f t="shared" ca="1" si="2"/>
        <v>18</v>
      </c>
      <c r="B28" s="33" t="str">
        <f t="shared" si="3"/>
        <v>Eastern Germany / former GDR 
(neue Bundesländer)</v>
      </c>
      <c r="C28" s="33" t="str">
        <f t="shared" si="4"/>
        <v>1969 ... 1978</v>
      </c>
      <c r="D28" s="33" t="str">
        <f t="shared" si="5"/>
        <v>Generic 
(Basis-Typ)</v>
      </c>
      <c r="E28" s="34" t="str">
        <f t="shared" si="0"/>
        <v/>
      </c>
      <c r="F28" s="34" t="str">
        <f t="shared" si="0"/>
        <v/>
      </c>
      <c r="G28" s="34" t="str">
        <f t="shared" si="0"/>
        <v/>
      </c>
      <c r="H28" s="34" t="str">
        <f t="shared" ca="1" si="0"/>
        <v>DE.East.AB.06.Gen</v>
      </c>
      <c r="I28" s="35"/>
      <c r="J28" s="40" t="str">
        <f t="shared" ca="1" si="10"/>
        <v>DE</v>
      </c>
      <c r="K28" s="41" t="s">
        <v>240</v>
      </c>
      <c r="L28" s="42" t="s">
        <v>241</v>
      </c>
      <c r="M28" s="42" t="s">
        <v>242</v>
      </c>
      <c r="N28" s="41">
        <v>6</v>
      </c>
      <c r="O28" s="41">
        <v>1969</v>
      </c>
      <c r="P28" s="41">
        <v>1978</v>
      </c>
      <c r="Q28" s="41" t="s">
        <v>228</v>
      </c>
      <c r="R28" s="42" t="s">
        <v>229</v>
      </c>
      <c r="S28" s="37" t="s">
        <v>230</v>
      </c>
      <c r="T28" s="42" t="s">
        <v>243</v>
      </c>
      <c r="U28" s="42"/>
      <c r="W28" s="37"/>
      <c r="X28" s="37"/>
      <c r="Y28" s="37"/>
      <c r="Z28" s="37" t="s">
        <v>231</v>
      </c>
      <c r="AB28" s="37">
        <v>1</v>
      </c>
      <c r="AC28" s="37">
        <v>1</v>
      </c>
      <c r="AD28" s="37">
        <v>1</v>
      </c>
      <c r="AE28" s="37">
        <v>1</v>
      </c>
      <c r="AG28" s="38">
        <f t="shared" si="11"/>
        <v>2</v>
      </c>
      <c r="AH28" s="38">
        <f t="shared" si="11"/>
        <v>2</v>
      </c>
      <c r="AI28" s="38">
        <f t="shared" si="11"/>
        <v>2</v>
      </c>
      <c r="AJ28" s="38">
        <f t="shared" si="11"/>
        <v>2</v>
      </c>
      <c r="AN28" s="39">
        <f t="shared" si="6"/>
        <v>0</v>
      </c>
      <c r="AO28" s="39">
        <f t="shared" ca="1" si="7"/>
        <v>1</v>
      </c>
      <c r="AP28" s="39">
        <f t="shared" si="8"/>
        <v>0</v>
      </c>
      <c r="AQ28" s="39">
        <f t="shared" ca="1" si="9"/>
        <v>1</v>
      </c>
    </row>
    <row r="29" spans="1:43" ht="75" customHeight="1">
      <c r="A29" s="32">
        <f t="shared" ca="1" si="2"/>
        <v>19</v>
      </c>
      <c r="B29" s="33" t="str">
        <f t="shared" si="3"/>
        <v>Eastern Germany / former GDR 
(neue Bundesländer)</v>
      </c>
      <c r="C29" s="33" t="str">
        <f t="shared" si="4"/>
        <v>1979 ... 1983</v>
      </c>
      <c r="D29" s="33" t="str">
        <f t="shared" si="5"/>
        <v>Generic 
(Basis-Typ)</v>
      </c>
      <c r="E29" s="34" t="str">
        <f t="shared" si="0"/>
        <v/>
      </c>
      <c r="F29" s="34" t="str">
        <f t="shared" si="0"/>
        <v/>
      </c>
      <c r="G29" s="34" t="str">
        <f t="shared" si="0"/>
        <v/>
      </c>
      <c r="H29" s="34" t="str">
        <f t="shared" ca="1" si="0"/>
        <v>DE.East.AB.07.Gen</v>
      </c>
      <c r="I29" s="35"/>
      <c r="J29" s="40" t="str">
        <f t="shared" ca="1" si="10"/>
        <v>DE</v>
      </c>
      <c r="K29" s="41" t="s">
        <v>240</v>
      </c>
      <c r="L29" s="42" t="s">
        <v>241</v>
      </c>
      <c r="M29" s="42" t="s">
        <v>242</v>
      </c>
      <c r="N29" s="41">
        <v>7</v>
      </c>
      <c r="O29" s="41">
        <v>1979</v>
      </c>
      <c r="P29" s="41">
        <v>1983</v>
      </c>
      <c r="Q29" s="41" t="s">
        <v>228</v>
      </c>
      <c r="R29" s="42" t="s">
        <v>229</v>
      </c>
      <c r="S29" s="37" t="s">
        <v>230</v>
      </c>
      <c r="T29" s="42" t="s">
        <v>243</v>
      </c>
      <c r="U29" s="42"/>
      <c r="W29" s="37"/>
      <c r="X29" s="37"/>
      <c r="Y29" s="37"/>
      <c r="Z29" s="37" t="s">
        <v>231</v>
      </c>
      <c r="AB29" s="37">
        <v>1</v>
      </c>
      <c r="AC29" s="37">
        <v>1</v>
      </c>
      <c r="AD29" s="37">
        <v>1</v>
      </c>
      <c r="AE29" s="37">
        <v>1</v>
      </c>
      <c r="AG29" s="38">
        <f t="shared" si="11"/>
        <v>2</v>
      </c>
      <c r="AH29" s="38">
        <f t="shared" si="11"/>
        <v>2</v>
      </c>
      <c r="AI29" s="38">
        <f t="shared" si="11"/>
        <v>2</v>
      </c>
      <c r="AJ29" s="38">
        <f t="shared" si="11"/>
        <v>2</v>
      </c>
      <c r="AN29" s="39">
        <f t="shared" si="6"/>
        <v>0</v>
      </c>
      <c r="AO29" s="39">
        <f t="shared" ca="1" si="7"/>
        <v>1</v>
      </c>
      <c r="AP29" s="39">
        <f t="shared" si="8"/>
        <v>0</v>
      </c>
      <c r="AQ29" s="39">
        <f t="shared" ca="1" si="9"/>
        <v>1</v>
      </c>
    </row>
    <row r="30" spans="1:43" ht="75" customHeight="1">
      <c r="A30" s="32">
        <f t="shared" ca="1" si="2"/>
        <v>20</v>
      </c>
      <c r="B30" s="33" t="str">
        <f t="shared" si="3"/>
        <v>Eastern Germany / former GDR 
(neue Bundesländer)</v>
      </c>
      <c r="C30" s="33" t="str">
        <f t="shared" si="4"/>
        <v>1984 ... 1994</v>
      </c>
      <c r="D30" s="33" t="str">
        <f t="shared" si="5"/>
        <v>Generic 
(Basis-Typ)</v>
      </c>
      <c r="E30" s="34" t="str">
        <f t="shared" si="0"/>
        <v/>
      </c>
      <c r="F30" s="34" t="str">
        <f t="shared" si="0"/>
        <v/>
      </c>
      <c r="G30" s="34" t="str">
        <f t="shared" si="0"/>
        <v/>
      </c>
      <c r="H30" s="34" t="str">
        <f t="shared" ca="1" si="0"/>
        <v>DE.East.AB.08.Gen</v>
      </c>
      <c r="I30" s="35"/>
      <c r="J30" s="40" t="str">
        <f t="shared" ca="1" si="10"/>
        <v>DE</v>
      </c>
      <c r="K30" s="41" t="s">
        <v>240</v>
      </c>
      <c r="L30" s="42" t="s">
        <v>241</v>
      </c>
      <c r="M30" s="42" t="s">
        <v>242</v>
      </c>
      <c r="N30" s="41">
        <v>8</v>
      </c>
      <c r="O30" s="41">
        <v>1984</v>
      </c>
      <c r="P30" s="41">
        <v>1994</v>
      </c>
      <c r="Q30" s="41" t="s">
        <v>228</v>
      </c>
      <c r="R30" s="42" t="s">
        <v>229</v>
      </c>
      <c r="S30" s="37" t="s">
        <v>230</v>
      </c>
      <c r="T30" s="42" t="s">
        <v>243</v>
      </c>
      <c r="U30" s="42"/>
      <c r="W30" s="37"/>
      <c r="X30" s="37"/>
      <c r="Y30" s="37"/>
      <c r="Z30" s="37" t="s">
        <v>231</v>
      </c>
      <c r="AB30" s="37">
        <v>1</v>
      </c>
      <c r="AC30" s="37">
        <v>1</v>
      </c>
      <c r="AD30" s="37">
        <v>1</v>
      </c>
      <c r="AE30" s="37">
        <v>1</v>
      </c>
      <c r="AG30" s="38">
        <f t="shared" si="11"/>
        <v>2</v>
      </c>
      <c r="AH30" s="38">
        <f t="shared" si="11"/>
        <v>2</v>
      </c>
      <c r="AI30" s="38">
        <f t="shared" si="11"/>
        <v>2</v>
      </c>
      <c r="AJ30" s="38">
        <f t="shared" si="11"/>
        <v>2</v>
      </c>
      <c r="AN30" s="39">
        <f t="shared" si="6"/>
        <v>0</v>
      </c>
      <c r="AO30" s="39">
        <f t="shared" ca="1" si="7"/>
        <v>1</v>
      </c>
      <c r="AP30" s="39">
        <f t="shared" si="8"/>
        <v>0</v>
      </c>
      <c r="AQ30" s="39">
        <f t="shared" ca="1" si="9"/>
        <v>1</v>
      </c>
    </row>
    <row r="31" spans="1:43" ht="75" customHeight="1">
      <c r="A31" s="32">
        <f t="shared" ca="1" si="2"/>
        <v>21</v>
      </c>
      <c r="B31" s="33" t="str">
        <f t="shared" si="3"/>
        <v>Eastern Germany / former GDR 
(neue Bundesländer)</v>
      </c>
      <c r="C31" s="33" t="str">
        <f t="shared" si="4"/>
        <v>1969 ... 1978</v>
      </c>
      <c r="D31" s="33" t="str">
        <f t="shared" si="5"/>
        <v>High-Rise Building 
(Hochhaus)</v>
      </c>
      <c r="E31" s="34" t="str">
        <f t="shared" si="0"/>
        <v/>
      </c>
      <c r="F31" s="34" t="str">
        <f t="shared" si="0"/>
        <v/>
      </c>
      <c r="G31" s="34" t="str">
        <f t="shared" si="0"/>
        <v/>
      </c>
      <c r="H31" s="34" t="str">
        <f t="shared" ca="1" si="0"/>
        <v>DE.East.AB.06.HR</v>
      </c>
      <c r="I31" s="35"/>
      <c r="J31" s="40" t="str">
        <f t="shared" ca="1" si="10"/>
        <v>DE</v>
      </c>
      <c r="K31" s="41" t="s">
        <v>240</v>
      </c>
      <c r="L31" s="42" t="s">
        <v>241</v>
      </c>
      <c r="M31" s="42" t="s">
        <v>242</v>
      </c>
      <c r="N31" s="41">
        <v>6</v>
      </c>
      <c r="O31" s="41">
        <v>1969</v>
      </c>
      <c r="P31" s="41">
        <v>1978</v>
      </c>
      <c r="Q31" s="41" t="s">
        <v>236</v>
      </c>
      <c r="R31" s="42" t="s">
        <v>237</v>
      </c>
      <c r="S31" s="42" t="s">
        <v>238</v>
      </c>
      <c r="T31" s="42" t="s">
        <v>243</v>
      </c>
      <c r="U31" s="42"/>
      <c r="W31" s="37"/>
      <c r="X31" s="37"/>
      <c r="Y31" s="37"/>
      <c r="Z31" s="37" t="s">
        <v>231</v>
      </c>
      <c r="AB31" s="37">
        <v>1</v>
      </c>
      <c r="AC31" s="37">
        <v>1</v>
      </c>
      <c r="AD31" s="37">
        <v>1</v>
      </c>
      <c r="AE31" s="37">
        <v>1</v>
      </c>
      <c r="AG31" s="38">
        <f t="shared" si="11"/>
        <v>3</v>
      </c>
      <c r="AH31" s="38">
        <f t="shared" si="11"/>
        <v>3</v>
      </c>
      <c r="AI31" s="38">
        <f t="shared" si="11"/>
        <v>3</v>
      </c>
      <c r="AJ31" s="38">
        <f t="shared" si="11"/>
        <v>3</v>
      </c>
      <c r="AN31" s="39">
        <f t="shared" si="6"/>
        <v>0</v>
      </c>
      <c r="AO31" s="39">
        <f t="shared" ca="1" si="7"/>
        <v>1</v>
      </c>
      <c r="AP31" s="39">
        <f t="shared" si="8"/>
        <v>0</v>
      </c>
      <c r="AQ31" s="39">
        <f t="shared" si="9"/>
        <v>0</v>
      </c>
    </row>
    <row r="32" spans="1:43" ht="75" customHeight="1">
      <c r="A32" s="32">
        <f t="shared" ca="1" si="2"/>
        <v>22</v>
      </c>
      <c r="B32" s="33" t="str">
        <f t="shared" si="3"/>
        <v>Eastern Germany / former GDR 
(neue Bundesländer)</v>
      </c>
      <c r="C32" s="33" t="str">
        <f t="shared" si="4"/>
        <v>1979 ... 1983</v>
      </c>
      <c r="D32" s="33" t="str">
        <f t="shared" si="5"/>
        <v>High-Rise Building 
(Hochhaus)</v>
      </c>
      <c r="E32" s="34" t="str">
        <f t="shared" si="0"/>
        <v/>
      </c>
      <c r="F32" s="34" t="str">
        <f t="shared" si="0"/>
        <v/>
      </c>
      <c r="G32" s="34" t="str">
        <f t="shared" si="0"/>
        <v/>
      </c>
      <c r="H32" s="34" t="str">
        <f t="shared" ca="1" si="0"/>
        <v>DE.East.AB.07.HR</v>
      </c>
      <c r="I32" s="35"/>
      <c r="J32" s="40" t="str">
        <f t="shared" ca="1" si="10"/>
        <v>DE</v>
      </c>
      <c r="K32" s="41" t="s">
        <v>240</v>
      </c>
      <c r="L32" s="42" t="s">
        <v>241</v>
      </c>
      <c r="M32" s="42" t="s">
        <v>242</v>
      </c>
      <c r="N32" s="41">
        <v>7</v>
      </c>
      <c r="O32" s="41">
        <v>1979</v>
      </c>
      <c r="P32" s="41">
        <v>1983</v>
      </c>
      <c r="Q32" s="41" t="s">
        <v>236</v>
      </c>
      <c r="R32" s="42" t="s">
        <v>237</v>
      </c>
      <c r="S32" s="42" t="s">
        <v>238</v>
      </c>
      <c r="T32" s="42" t="s">
        <v>243</v>
      </c>
      <c r="U32" s="42"/>
      <c r="W32" s="37"/>
      <c r="X32" s="37"/>
      <c r="Y32" s="37"/>
      <c r="Z32" s="37" t="s">
        <v>231</v>
      </c>
      <c r="AB32" s="37">
        <v>1</v>
      </c>
      <c r="AC32" s="37">
        <v>1</v>
      </c>
      <c r="AD32" s="37">
        <v>1</v>
      </c>
      <c r="AE32" s="37">
        <v>1</v>
      </c>
      <c r="AG32" s="38">
        <f t="shared" si="11"/>
        <v>3</v>
      </c>
      <c r="AH32" s="38">
        <f t="shared" si="11"/>
        <v>3</v>
      </c>
      <c r="AI32" s="38">
        <f t="shared" si="11"/>
        <v>3</v>
      </c>
      <c r="AJ32" s="38">
        <f t="shared" si="11"/>
        <v>3</v>
      </c>
      <c r="AN32" s="39">
        <f t="shared" si="6"/>
        <v>0</v>
      </c>
      <c r="AO32" s="39">
        <f t="shared" ca="1" si="7"/>
        <v>1</v>
      </c>
      <c r="AP32" s="39">
        <f t="shared" si="8"/>
        <v>0</v>
      </c>
      <c r="AQ32" s="39">
        <f t="shared" si="9"/>
        <v>0</v>
      </c>
    </row>
    <row r="33" spans="1:43" ht="75" customHeight="1">
      <c r="A33" s="32">
        <f t="shared" ca="1" si="2"/>
        <v>23</v>
      </c>
      <c r="B33" s="33" t="str">
        <f t="shared" si="3"/>
        <v/>
      </c>
      <c r="C33" s="33" t="str">
        <f t="shared" si="4"/>
        <v xml:space="preserve"> ... </v>
      </c>
      <c r="D33" s="33" t="str">
        <f t="shared" si="5"/>
        <v/>
      </c>
      <c r="E33" s="34" t="str">
        <f t="shared" si="0"/>
        <v/>
      </c>
      <c r="F33" s="34" t="str">
        <f t="shared" si="0"/>
        <v/>
      </c>
      <c r="G33" s="34" t="str">
        <f t="shared" si="0"/>
        <v/>
      </c>
      <c r="H33" s="34" t="str">
        <f t="shared" si="0"/>
        <v/>
      </c>
      <c r="I33" s="35"/>
      <c r="J33" s="40" t="str">
        <f t="shared" ca="1" si="10"/>
        <v>DE</v>
      </c>
      <c r="K33" s="41"/>
      <c r="L33" s="42"/>
      <c r="M33" s="42"/>
      <c r="N33" s="41"/>
      <c r="O33" s="41"/>
      <c r="P33" s="41"/>
      <c r="Q33" s="41" t="s">
        <v>228</v>
      </c>
      <c r="R33" s="42"/>
      <c r="S33" s="42"/>
      <c r="T33" s="42"/>
      <c r="U33" s="42"/>
      <c r="W33" s="37"/>
      <c r="X33" s="37"/>
      <c r="Y33" s="37"/>
      <c r="Z33" s="37"/>
      <c r="AB33" s="37">
        <v>1</v>
      </c>
      <c r="AC33" s="37">
        <v>1</v>
      </c>
      <c r="AD33" s="37">
        <v>1</v>
      </c>
      <c r="AE33" s="37">
        <v>1</v>
      </c>
      <c r="AG33" s="38">
        <f t="shared" si="11"/>
        <v>2</v>
      </c>
      <c r="AH33" s="38">
        <f t="shared" si="11"/>
        <v>2</v>
      </c>
      <c r="AI33" s="38">
        <f t="shared" si="11"/>
        <v>2</v>
      </c>
      <c r="AJ33" s="38">
        <f t="shared" si="11"/>
        <v>2</v>
      </c>
      <c r="AN33" s="39">
        <f t="shared" si="6"/>
        <v>0</v>
      </c>
      <c r="AO33" s="39">
        <f t="shared" si="7"/>
        <v>0</v>
      </c>
      <c r="AP33" s="39">
        <f t="shared" si="8"/>
        <v>0</v>
      </c>
      <c r="AQ33" s="39">
        <f t="shared" si="9"/>
        <v>0</v>
      </c>
    </row>
    <row r="34" spans="1:43" ht="75" customHeight="1">
      <c r="A34" s="32">
        <f t="shared" ca="1" si="2"/>
        <v>24</v>
      </c>
      <c r="B34" s="33" t="str">
        <f t="shared" si="3"/>
        <v/>
      </c>
      <c r="C34" s="33" t="str">
        <f t="shared" si="4"/>
        <v xml:space="preserve"> ... </v>
      </c>
      <c r="D34" s="33" t="str">
        <f t="shared" si="5"/>
        <v/>
      </c>
      <c r="E34" s="34" t="str">
        <f t="shared" si="0"/>
        <v/>
      </c>
      <c r="F34" s="34" t="str">
        <f t="shared" si="0"/>
        <v/>
      </c>
      <c r="G34" s="34" t="str">
        <f t="shared" si="0"/>
        <v/>
      </c>
      <c r="H34" s="34" t="str">
        <f t="shared" si="0"/>
        <v/>
      </c>
      <c r="I34" s="35"/>
      <c r="J34" s="40" t="str">
        <f t="shared" ca="1" si="10"/>
        <v>DE</v>
      </c>
      <c r="K34" s="41"/>
      <c r="L34" s="42"/>
      <c r="M34" s="42"/>
      <c r="N34" s="41"/>
      <c r="O34" s="41"/>
      <c r="P34" s="41"/>
      <c r="Q34" s="41" t="s">
        <v>228</v>
      </c>
      <c r="R34" s="42"/>
      <c r="S34" s="42"/>
      <c r="T34" s="42"/>
      <c r="U34" s="42"/>
      <c r="W34" s="37"/>
      <c r="X34" s="37"/>
      <c r="Y34" s="37"/>
      <c r="Z34" s="37"/>
      <c r="AB34" s="37">
        <v>1</v>
      </c>
      <c r="AC34" s="37">
        <v>1</v>
      </c>
      <c r="AD34" s="37">
        <v>1</v>
      </c>
      <c r="AE34" s="37">
        <v>1</v>
      </c>
      <c r="AG34" s="38">
        <f t="shared" si="11"/>
        <v>2</v>
      </c>
      <c r="AH34" s="38">
        <f t="shared" si="11"/>
        <v>2</v>
      </c>
      <c r="AI34" s="38">
        <f t="shared" si="11"/>
        <v>2</v>
      </c>
      <c r="AJ34" s="38">
        <f t="shared" si="11"/>
        <v>2</v>
      </c>
      <c r="AN34" s="39">
        <f t="shared" si="6"/>
        <v>0</v>
      </c>
      <c r="AO34" s="39">
        <f t="shared" si="7"/>
        <v>0</v>
      </c>
      <c r="AP34" s="39">
        <f t="shared" si="8"/>
        <v>0</v>
      </c>
      <c r="AQ34" s="39">
        <f t="shared" si="9"/>
        <v>0</v>
      </c>
    </row>
    <row r="35" spans="1:43" ht="75" customHeight="1">
      <c r="A35" s="32">
        <f t="shared" ca="1" si="2"/>
        <v>25</v>
      </c>
      <c r="B35" s="33" t="str">
        <f t="shared" si="3"/>
        <v/>
      </c>
      <c r="C35" s="33" t="str">
        <f t="shared" si="4"/>
        <v xml:space="preserve"> ... </v>
      </c>
      <c r="D35" s="33" t="str">
        <f t="shared" si="5"/>
        <v/>
      </c>
      <c r="E35" s="34" t="str">
        <f t="shared" si="0"/>
        <v/>
      </c>
      <c r="F35" s="34" t="str">
        <f t="shared" si="0"/>
        <v/>
      </c>
      <c r="G35" s="34" t="str">
        <f t="shared" si="0"/>
        <v/>
      </c>
      <c r="H35" s="34" t="str">
        <f t="shared" si="0"/>
        <v/>
      </c>
      <c r="I35" s="35"/>
      <c r="J35" s="40" t="str">
        <f t="shared" ca="1" si="10"/>
        <v>DE</v>
      </c>
      <c r="K35" s="41"/>
      <c r="L35" s="42"/>
      <c r="M35" s="42"/>
      <c r="N35" s="41"/>
      <c r="O35" s="41"/>
      <c r="P35" s="41"/>
      <c r="Q35" s="41" t="s">
        <v>228</v>
      </c>
      <c r="R35" s="42"/>
      <c r="S35" s="42"/>
      <c r="T35" s="42"/>
      <c r="U35" s="42"/>
      <c r="W35" s="37"/>
      <c r="X35" s="37"/>
      <c r="Y35" s="37"/>
      <c r="Z35" s="37"/>
      <c r="AB35" s="37">
        <v>1</v>
      </c>
      <c r="AC35" s="37">
        <v>1</v>
      </c>
      <c r="AD35" s="37">
        <v>1</v>
      </c>
      <c r="AE35" s="37">
        <v>1</v>
      </c>
      <c r="AG35" s="38">
        <f t="shared" si="11"/>
        <v>2</v>
      </c>
      <c r="AH35" s="38">
        <f t="shared" si="11"/>
        <v>2</v>
      </c>
      <c r="AI35" s="38">
        <f t="shared" si="11"/>
        <v>2</v>
      </c>
      <c r="AJ35" s="38">
        <f t="shared" si="11"/>
        <v>2</v>
      </c>
      <c r="AN35" s="39">
        <f t="shared" si="6"/>
        <v>0</v>
      </c>
      <c r="AO35" s="39">
        <f t="shared" si="7"/>
        <v>0</v>
      </c>
      <c r="AP35" s="39">
        <f t="shared" si="8"/>
        <v>0</v>
      </c>
      <c r="AQ35" s="39">
        <f t="shared" si="9"/>
        <v>0</v>
      </c>
    </row>
    <row r="36" spans="1:43" ht="75" customHeight="1">
      <c r="A36" s="32">
        <f t="shared" ca="1" si="2"/>
        <v>26</v>
      </c>
      <c r="B36" s="33" t="str">
        <f t="shared" si="3"/>
        <v/>
      </c>
      <c r="C36" s="33" t="str">
        <f t="shared" si="4"/>
        <v xml:space="preserve"> ... </v>
      </c>
      <c r="D36" s="33" t="str">
        <f t="shared" si="5"/>
        <v/>
      </c>
      <c r="E36" s="34" t="str">
        <f t="shared" si="0"/>
        <v/>
      </c>
      <c r="F36" s="34" t="str">
        <f t="shared" si="0"/>
        <v/>
      </c>
      <c r="G36" s="34" t="str">
        <f t="shared" si="0"/>
        <v/>
      </c>
      <c r="H36" s="34" t="str">
        <f t="shared" si="0"/>
        <v/>
      </c>
      <c r="I36" s="35"/>
      <c r="J36" s="40" t="str">
        <f t="shared" ca="1" si="10"/>
        <v>DE</v>
      </c>
      <c r="K36" s="41"/>
      <c r="L36" s="42"/>
      <c r="M36" s="42"/>
      <c r="N36" s="41"/>
      <c r="O36" s="41"/>
      <c r="P36" s="41"/>
      <c r="Q36" s="41" t="s">
        <v>228</v>
      </c>
      <c r="R36" s="42"/>
      <c r="S36" s="42"/>
      <c r="T36" s="42"/>
      <c r="U36" s="42"/>
      <c r="W36" s="37"/>
      <c r="X36" s="37"/>
      <c r="Y36" s="37"/>
      <c r="Z36" s="37"/>
      <c r="AB36" s="37">
        <v>1</v>
      </c>
      <c r="AC36" s="37">
        <v>1</v>
      </c>
      <c r="AD36" s="37">
        <v>1</v>
      </c>
      <c r="AE36" s="37">
        <v>1</v>
      </c>
      <c r="AG36" s="38">
        <f t="shared" si="11"/>
        <v>2</v>
      </c>
      <c r="AH36" s="38">
        <f t="shared" si="11"/>
        <v>2</v>
      </c>
      <c r="AI36" s="38">
        <f t="shared" si="11"/>
        <v>2</v>
      </c>
      <c r="AJ36" s="38">
        <f t="shared" si="11"/>
        <v>2</v>
      </c>
      <c r="AN36" s="39">
        <f t="shared" si="6"/>
        <v>0</v>
      </c>
      <c r="AO36" s="39">
        <f t="shared" si="7"/>
        <v>0</v>
      </c>
      <c r="AP36" s="39">
        <f t="shared" si="8"/>
        <v>0</v>
      </c>
      <c r="AQ36" s="39">
        <f t="shared" si="9"/>
        <v>0</v>
      </c>
    </row>
    <row r="37" spans="1:43" ht="75" customHeight="1">
      <c r="A37" s="32">
        <f t="shared" ca="1" si="2"/>
        <v>27</v>
      </c>
      <c r="B37" s="33" t="str">
        <f t="shared" si="3"/>
        <v/>
      </c>
      <c r="C37" s="33" t="str">
        <f t="shared" si="4"/>
        <v xml:space="preserve"> ... </v>
      </c>
      <c r="D37" s="33" t="str">
        <f t="shared" si="5"/>
        <v/>
      </c>
      <c r="E37" s="34" t="str">
        <f t="shared" si="0"/>
        <v/>
      </c>
      <c r="F37" s="34" t="str">
        <f t="shared" si="0"/>
        <v/>
      </c>
      <c r="G37" s="34" t="str">
        <f t="shared" si="0"/>
        <v/>
      </c>
      <c r="H37" s="34" t="str">
        <f t="shared" si="0"/>
        <v/>
      </c>
      <c r="I37" s="35"/>
      <c r="J37" s="40" t="str">
        <f t="shared" ca="1" si="10"/>
        <v>DE</v>
      </c>
      <c r="K37" s="41"/>
      <c r="L37" s="42"/>
      <c r="M37" s="42"/>
      <c r="N37" s="41"/>
      <c r="O37" s="41"/>
      <c r="P37" s="41"/>
      <c r="Q37" s="41" t="s">
        <v>228</v>
      </c>
      <c r="R37" s="42"/>
      <c r="S37" s="42"/>
      <c r="T37" s="42"/>
      <c r="U37" s="42"/>
      <c r="W37" s="37"/>
      <c r="X37" s="37"/>
      <c r="Y37" s="37"/>
      <c r="Z37" s="37"/>
      <c r="AB37" s="37">
        <v>1</v>
      </c>
      <c r="AC37" s="37">
        <v>1</v>
      </c>
      <c r="AD37" s="37">
        <v>1</v>
      </c>
      <c r="AE37" s="37">
        <v>1</v>
      </c>
      <c r="AG37" s="38">
        <f t="shared" si="11"/>
        <v>2</v>
      </c>
      <c r="AH37" s="38">
        <f t="shared" si="11"/>
        <v>2</v>
      </c>
      <c r="AI37" s="38">
        <f t="shared" si="11"/>
        <v>2</v>
      </c>
      <c r="AJ37" s="38">
        <f t="shared" si="11"/>
        <v>2</v>
      </c>
      <c r="AN37" s="39">
        <f t="shared" si="6"/>
        <v>0</v>
      </c>
      <c r="AO37" s="39">
        <f t="shared" si="7"/>
        <v>0</v>
      </c>
      <c r="AP37" s="39">
        <f t="shared" si="8"/>
        <v>0</v>
      </c>
      <c r="AQ37" s="39">
        <f t="shared" si="9"/>
        <v>0</v>
      </c>
    </row>
    <row r="38" spans="1:43" ht="75" customHeight="1">
      <c r="A38" s="32">
        <f t="shared" ca="1" si="2"/>
        <v>28</v>
      </c>
      <c r="B38" s="33" t="str">
        <f t="shared" si="3"/>
        <v/>
      </c>
      <c r="C38" s="33" t="str">
        <f t="shared" si="4"/>
        <v xml:space="preserve"> ... </v>
      </c>
      <c r="D38" s="33" t="str">
        <f t="shared" si="5"/>
        <v/>
      </c>
      <c r="E38" s="34" t="str">
        <f t="shared" si="0"/>
        <v/>
      </c>
      <c r="F38" s="34" t="str">
        <f t="shared" si="0"/>
        <v/>
      </c>
      <c r="G38" s="34" t="str">
        <f t="shared" si="0"/>
        <v/>
      </c>
      <c r="H38" s="34" t="str">
        <f t="shared" si="0"/>
        <v/>
      </c>
      <c r="I38" s="35"/>
      <c r="J38" s="40" t="str">
        <f t="shared" ca="1" si="10"/>
        <v>DE</v>
      </c>
      <c r="K38" s="41"/>
      <c r="L38" s="42"/>
      <c r="M38" s="42"/>
      <c r="N38" s="41"/>
      <c r="O38" s="41"/>
      <c r="P38" s="41"/>
      <c r="Q38" s="41" t="s">
        <v>228</v>
      </c>
      <c r="R38" s="42"/>
      <c r="S38" s="42"/>
      <c r="T38" s="42"/>
      <c r="U38" s="42"/>
      <c r="W38" s="37"/>
      <c r="X38" s="37"/>
      <c r="Y38" s="37"/>
      <c r="Z38" s="37"/>
      <c r="AB38" s="37">
        <v>1</v>
      </c>
      <c r="AC38" s="37">
        <v>1</v>
      </c>
      <c r="AD38" s="37">
        <v>1</v>
      </c>
      <c r="AE38" s="37">
        <v>1</v>
      </c>
      <c r="AG38" s="38">
        <f t="shared" si="11"/>
        <v>2</v>
      </c>
      <c r="AH38" s="38">
        <f t="shared" si="11"/>
        <v>2</v>
      </c>
      <c r="AI38" s="38">
        <f t="shared" si="11"/>
        <v>2</v>
      </c>
      <c r="AJ38" s="38">
        <f t="shared" si="11"/>
        <v>2</v>
      </c>
      <c r="AN38" s="39">
        <f t="shared" si="6"/>
        <v>0</v>
      </c>
      <c r="AO38" s="39">
        <f t="shared" si="7"/>
        <v>0</v>
      </c>
      <c r="AP38" s="39">
        <f t="shared" si="8"/>
        <v>0</v>
      </c>
      <c r="AQ38" s="39">
        <f t="shared" si="9"/>
        <v>0</v>
      </c>
    </row>
    <row r="39" spans="1:43" ht="75" customHeight="1">
      <c r="A39" s="32">
        <f t="shared" ca="1" si="2"/>
        <v>29</v>
      </c>
      <c r="B39" s="33" t="str">
        <f t="shared" si="3"/>
        <v/>
      </c>
      <c r="C39" s="33" t="str">
        <f t="shared" si="4"/>
        <v xml:space="preserve"> ... </v>
      </c>
      <c r="D39" s="33" t="str">
        <f t="shared" si="5"/>
        <v/>
      </c>
      <c r="E39" s="34" t="str">
        <f t="shared" si="0"/>
        <v/>
      </c>
      <c r="F39" s="34" t="str">
        <f t="shared" si="0"/>
        <v/>
      </c>
      <c r="G39" s="34" t="str">
        <f t="shared" si="0"/>
        <v/>
      </c>
      <c r="H39" s="34" t="str">
        <f t="shared" si="0"/>
        <v/>
      </c>
      <c r="I39" s="35"/>
      <c r="J39" s="40" t="str">
        <f t="shared" ca="1" si="10"/>
        <v>DE</v>
      </c>
      <c r="K39" s="41"/>
      <c r="L39" s="42"/>
      <c r="M39" s="42"/>
      <c r="N39" s="41"/>
      <c r="O39" s="41"/>
      <c r="P39" s="41"/>
      <c r="Q39" s="41" t="s">
        <v>228</v>
      </c>
      <c r="R39" s="42"/>
      <c r="S39" s="42"/>
      <c r="T39" s="42"/>
      <c r="U39" s="42"/>
      <c r="W39" s="37"/>
      <c r="X39" s="37"/>
      <c r="Y39" s="37"/>
      <c r="Z39" s="37"/>
      <c r="AB39" s="37">
        <v>1</v>
      </c>
      <c r="AC39" s="37">
        <v>1</v>
      </c>
      <c r="AD39" s="37">
        <v>1</v>
      </c>
      <c r="AE39" s="37">
        <v>1</v>
      </c>
      <c r="AG39" s="38">
        <f t="shared" si="11"/>
        <v>2</v>
      </c>
      <c r="AH39" s="38">
        <f t="shared" si="11"/>
        <v>2</v>
      </c>
      <c r="AI39" s="38">
        <f t="shared" si="11"/>
        <v>2</v>
      </c>
      <c r="AJ39" s="38">
        <f t="shared" si="11"/>
        <v>2</v>
      </c>
      <c r="AN39" s="39">
        <f t="shared" si="6"/>
        <v>0</v>
      </c>
      <c r="AO39" s="39">
        <f t="shared" si="7"/>
        <v>0</v>
      </c>
      <c r="AP39" s="39">
        <f t="shared" si="8"/>
        <v>0</v>
      </c>
      <c r="AQ39" s="39">
        <f t="shared" si="9"/>
        <v>0</v>
      </c>
    </row>
    <row r="40" spans="1:43" ht="75" customHeight="1">
      <c r="A40" s="32">
        <f t="shared" ca="1" si="2"/>
        <v>30</v>
      </c>
      <c r="B40" s="33" t="str">
        <f t="shared" si="3"/>
        <v/>
      </c>
      <c r="C40" s="33" t="str">
        <f t="shared" si="4"/>
        <v xml:space="preserve"> ... </v>
      </c>
      <c r="D40" s="33" t="str">
        <f t="shared" si="5"/>
        <v/>
      </c>
      <c r="E40" s="34" t="str">
        <f t="shared" si="0"/>
        <v/>
      </c>
      <c r="F40" s="34" t="str">
        <f t="shared" si="0"/>
        <v/>
      </c>
      <c r="G40" s="34" t="str">
        <f t="shared" si="0"/>
        <v/>
      </c>
      <c r="H40" s="34" t="str">
        <f t="shared" si="0"/>
        <v/>
      </c>
      <c r="I40" s="35"/>
      <c r="J40" s="40" t="str">
        <f t="shared" ca="1" si="10"/>
        <v>DE</v>
      </c>
      <c r="K40" s="41"/>
      <c r="L40" s="42"/>
      <c r="M40" s="42"/>
      <c r="N40" s="41"/>
      <c r="O40" s="41"/>
      <c r="P40" s="41"/>
      <c r="Q40" s="41" t="s">
        <v>228</v>
      </c>
      <c r="R40" s="42"/>
      <c r="S40" s="42"/>
      <c r="T40" s="42"/>
      <c r="U40" s="42"/>
      <c r="W40" s="37"/>
      <c r="X40" s="37"/>
      <c r="Y40" s="37"/>
      <c r="Z40" s="37"/>
      <c r="AB40" s="37">
        <v>1</v>
      </c>
      <c r="AC40" s="37">
        <v>1</v>
      </c>
      <c r="AD40" s="37">
        <v>1</v>
      </c>
      <c r="AE40" s="37">
        <v>1</v>
      </c>
      <c r="AG40" s="38">
        <f t="shared" si="11"/>
        <v>2</v>
      </c>
      <c r="AH40" s="38">
        <f t="shared" si="11"/>
        <v>2</v>
      </c>
      <c r="AI40" s="38">
        <f t="shared" si="11"/>
        <v>2</v>
      </c>
      <c r="AJ40" s="38">
        <f t="shared" si="11"/>
        <v>2</v>
      </c>
      <c r="AN40" s="39">
        <f t="shared" si="6"/>
        <v>0</v>
      </c>
      <c r="AO40" s="39">
        <f t="shared" si="7"/>
        <v>0</v>
      </c>
      <c r="AP40" s="39">
        <f t="shared" si="8"/>
        <v>0</v>
      </c>
      <c r="AQ40" s="39">
        <f t="shared" si="9"/>
        <v>0</v>
      </c>
    </row>
    <row r="41" spans="1:43" ht="75" customHeight="1">
      <c r="A41" s="32">
        <f t="shared" ca="1" si="2"/>
        <v>31</v>
      </c>
      <c r="B41" s="33" t="str">
        <f t="shared" si="3"/>
        <v/>
      </c>
      <c r="C41" s="33" t="str">
        <f t="shared" si="4"/>
        <v xml:space="preserve"> ... </v>
      </c>
      <c r="D41" s="33" t="str">
        <f t="shared" si="5"/>
        <v/>
      </c>
      <c r="E41" s="34" t="str">
        <f t="shared" si="0"/>
        <v/>
      </c>
      <c r="F41" s="34" t="str">
        <f t="shared" si="0"/>
        <v/>
      </c>
      <c r="G41" s="34" t="str">
        <f t="shared" si="0"/>
        <v/>
      </c>
      <c r="H41" s="34" t="str">
        <f t="shared" si="0"/>
        <v/>
      </c>
      <c r="I41" s="35"/>
      <c r="J41" s="40" t="str">
        <f t="shared" ca="1" si="10"/>
        <v>DE</v>
      </c>
      <c r="K41" s="41"/>
      <c r="L41" s="42"/>
      <c r="M41" s="42"/>
      <c r="N41" s="41"/>
      <c r="O41" s="41"/>
      <c r="P41" s="41"/>
      <c r="Q41" s="41" t="s">
        <v>228</v>
      </c>
      <c r="R41" s="42"/>
      <c r="S41" s="42"/>
      <c r="T41" s="42"/>
      <c r="U41" s="42"/>
      <c r="W41" s="37"/>
      <c r="X41" s="37"/>
      <c r="Y41" s="37"/>
      <c r="Z41" s="37"/>
      <c r="AB41" s="37">
        <v>1</v>
      </c>
      <c r="AC41" s="37">
        <v>1</v>
      </c>
      <c r="AD41" s="37">
        <v>1</v>
      </c>
      <c r="AE41" s="37">
        <v>1</v>
      </c>
      <c r="AG41" s="38">
        <f t="shared" si="11"/>
        <v>2</v>
      </c>
      <c r="AH41" s="38">
        <f t="shared" si="11"/>
        <v>2</v>
      </c>
      <c r="AI41" s="38">
        <f t="shared" si="11"/>
        <v>2</v>
      </c>
      <c r="AJ41" s="38">
        <f t="shared" si="11"/>
        <v>2</v>
      </c>
      <c r="AN41" s="39">
        <f t="shared" si="6"/>
        <v>0</v>
      </c>
      <c r="AO41" s="39">
        <f t="shared" si="7"/>
        <v>0</v>
      </c>
      <c r="AP41" s="39">
        <f t="shared" si="8"/>
        <v>0</v>
      </c>
      <c r="AQ41" s="39">
        <f t="shared" si="9"/>
        <v>0</v>
      </c>
    </row>
    <row r="42" spans="1:43" ht="75" customHeight="1">
      <c r="A42" s="32">
        <f t="shared" ca="1" si="2"/>
        <v>32</v>
      </c>
      <c r="B42" s="33" t="str">
        <f t="shared" si="3"/>
        <v/>
      </c>
      <c r="C42" s="33" t="str">
        <f t="shared" si="4"/>
        <v xml:space="preserve"> ... </v>
      </c>
      <c r="D42" s="33" t="str">
        <f t="shared" si="5"/>
        <v/>
      </c>
      <c r="E42" s="34" t="str">
        <f t="shared" si="0"/>
        <v/>
      </c>
      <c r="F42" s="34" t="str">
        <f t="shared" si="0"/>
        <v/>
      </c>
      <c r="G42" s="34" t="str">
        <f t="shared" si="0"/>
        <v/>
      </c>
      <c r="H42" s="34" t="str">
        <f t="shared" si="0"/>
        <v/>
      </c>
      <c r="I42" s="35"/>
      <c r="J42" s="40" t="str">
        <f t="shared" ca="1" si="10"/>
        <v>DE</v>
      </c>
      <c r="K42" s="41"/>
      <c r="L42" s="42"/>
      <c r="M42" s="42"/>
      <c r="N42" s="41"/>
      <c r="O42" s="41"/>
      <c r="P42" s="41"/>
      <c r="Q42" s="41" t="s">
        <v>228</v>
      </c>
      <c r="R42" s="42"/>
      <c r="S42" s="42"/>
      <c r="T42" s="42"/>
      <c r="U42" s="42"/>
      <c r="W42" s="37"/>
      <c r="X42" s="37"/>
      <c r="Y42" s="37"/>
      <c r="Z42" s="37"/>
      <c r="AB42" s="37">
        <v>1</v>
      </c>
      <c r="AC42" s="37">
        <v>1</v>
      </c>
      <c r="AD42" s="37">
        <v>1</v>
      </c>
      <c r="AE42" s="37">
        <v>1</v>
      </c>
      <c r="AG42" s="38">
        <f t="shared" si="11"/>
        <v>2</v>
      </c>
      <c r="AH42" s="38">
        <f t="shared" si="11"/>
        <v>2</v>
      </c>
      <c r="AI42" s="38">
        <f t="shared" si="11"/>
        <v>2</v>
      </c>
      <c r="AJ42" s="38">
        <f t="shared" si="11"/>
        <v>2</v>
      </c>
      <c r="AN42" s="39">
        <f t="shared" si="6"/>
        <v>0</v>
      </c>
      <c r="AO42" s="39">
        <f t="shared" si="7"/>
        <v>0</v>
      </c>
      <c r="AP42" s="39">
        <f t="shared" si="8"/>
        <v>0</v>
      </c>
      <c r="AQ42" s="39">
        <f t="shared" si="9"/>
        <v>0</v>
      </c>
    </row>
    <row r="43" spans="1:43" ht="75" customHeight="1">
      <c r="A43" s="32">
        <f t="shared" ca="1" si="2"/>
        <v>33</v>
      </c>
      <c r="B43" s="33" t="str">
        <f t="shared" si="3"/>
        <v/>
      </c>
      <c r="C43" s="33" t="str">
        <f t="shared" si="4"/>
        <v xml:space="preserve"> ... </v>
      </c>
      <c r="D43" s="33" t="str">
        <f t="shared" si="5"/>
        <v/>
      </c>
      <c r="E43" s="34" t="str">
        <f t="shared" si="0"/>
        <v/>
      </c>
      <c r="F43" s="34" t="str">
        <f t="shared" si="0"/>
        <v/>
      </c>
      <c r="G43" s="34" t="str">
        <f t="shared" si="0"/>
        <v/>
      </c>
      <c r="H43" s="34" t="str">
        <f t="shared" si="0"/>
        <v/>
      </c>
      <c r="I43" s="35"/>
      <c r="J43" s="40" t="str">
        <f t="shared" ca="1" si="10"/>
        <v>DE</v>
      </c>
      <c r="K43" s="41"/>
      <c r="L43" s="42"/>
      <c r="M43" s="42"/>
      <c r="N43" s="41"/>
      <c r="O43" s="41"/>
      <c r="P43" s="41"/>
      <c r="Q43" s="41" t="s">
        <v>228</v>
      </c>
      <c r="R43" s="42"/>
      <c r="S43" s="42"/>
      <c r="T43" s="42"/>
      <c r="U43" s="42"/>
      <c r="W43" s="37"/>
      <c r="X43" s="37"/>
      <c r="Y43" s="37"/>
      <c r="Z43" s="37"/>
      <c r="AB43" s="37">
        <v>1</v>
      </c>
      <c r="AC43" s="37">
        <v>1</v>
      </c>
      <c r="AD43" s="37">
        <v>1</v>
      </c>
      <c r="AE43" s="37">
        <v>1</v>
      </c>
      <c r="AG43" s="38">
        <f t="shared" ref="AG43:AJ58" si="12">IF(AND($K43="N",$Q43="Gen"),1,IF(OR($K43&lt;&gt;$K42,$Q43&lt;&gt;$Q42),MOD(AG42+1,2)+2,AG42))</f>
        <v>2</v>
      </c>
      <c r="AH43" s="38">
        <f t="shared" si="12"/>
        <v>2</v>
      </c>
      <c r="AI43" s="38">
        <f t="shared" si="12"/>
        <v>2</v>
      </c>
      <c r="AJ43" s="38">
        <f t="shared" si="12"/>
        <v>2</v>
      </c>
      <c r="AN43" s="39">
        <f t="shared" si="6"/>
        <v>0</v>
      </c>
      <c r="AO43" s="39">
        <f t="shared" si="7"/>
        <v>0</v>
      </c>
      <c r="AP43" s="39">
        <f t="shared" si="8"/>
        <v>0</v>
      </c>
      <c r="AQ43" s="39">
        <f t="shared" si="9"/>
        <v>0</v>
      </c>
    </row>
    <row r="44" spans="1:43" ht="75" customHeight="1">
      <c r="A44" s="32">
        <f t="shared" ca="1" si="2"/>
        <v>34</v>
      </c>
      <c r="B44" s="33" t="str">
        <f t="shared" si="3"/>
        <v/>
      </c>
      <c r="C44" s="33" t="str">
        <f t="shared" si="4"/>
        <v xml:space="preserve"> ... </v>
      </c>
      <c r="D44" s="33" t="str">
        <f t="shared" si="5"/>
        <v/>
      </c>
      <c r="E44" s="34" t="str">
        <f t="shared" ref="E44:H61" si="13">IF(W44&lt;&gt;"",$J44&amp;"."&amp;$K44&amp;"."&amp;E$9&amp;"."&amp;TEXT($N44,"00")&amp;"."&amp;$Q44,"")</f>
        <v/>
      </c>
      <c r="F44" s="34" t="str">
        <f t="shared" si="13"/>
        <v/>
      </c>
      <c r="G44" s="34" t="str">
        <f t="shared" si="13"/>
        <v/>
      </c>
      <c r="H44" s="34" t="str">
        <f t="shared" si="13"/>
        <v/>
      </c>
      <c r="I44" s="35"/>
      <c r="J44" s="40" t="str">
        <f t="shared" ca="1" si="10"/>
        <v>DE</v>
      </c>
      <c r="K44" s="41"/>
      <c r="L44" s="42"/>
      <c r="M44" s="42"/>
      <c r="N44" s="41"/>
      <c r="O44" s="41"/>
      <c r="P44" s="41"/>
      <c r="Q44" s="41" t="s">
        <v>228</v>
      </c>
      <c r="R44" s="42"/>
      <c r="S44" s="42"/>
      <c r="T44" s="42"/>
      <c r="U44" s="42"/>
      <c r="W44" s="37"/>
      <c r="X44" s="37"/>
      <c r="Y44" s="37"/>
      <c r="Z44" s="37"/>
      <c r="AB44" s="37">
        <v>1</v>
      </c>
      <c r="AC44" s="37">
        <v>1</v>
      </c>
      <c r="AD44" s="37">
        <v>1</v>
      </c>
      <c r="AE44" s="37">
        <v>1</v>
      </c>
      <c r="AG44" s="38">
        <f t="shared" si="12"/>
        <v>2</v>
      </c>
      <c r="AH44" s="38">
        <f t="shared" si="12"/>
        <v>2</v>
      </c>
      <c r="AI44" s="38">
        <f t="shared" si="12"/>
        <v>2</v>
      </c>
      <c r="AJ44" s="38">
        <f t="shared" si="12"/>
        <v>2</v>
      </c>
      <c r="AN44" s="39">
        <f t="shared" si="6"/>
        <v>0</v>
      </c>
      <c r="AO44" s="39">
        <f t="shared" si="7"/>
        <v>0</v>
      </c>
      <c r="AP44" s="39">
        <f t="shared" si="8"/>
        <v>0</v>
      </c>
      <c r="AQ44" s="39">
        <f t="shared" si="9"/>
        <v>0</v>
      </c>
    </row>
    <row r="45" spans="1:43" ht="75" customHeight="1">
      <c r="A45" s="32">
        <f t="shared" ca="1" si="2"/>
        <v>35</v>
      </c>
      <c r="B45" s="33" t="str">
        <f t="shared" si="3"/>
        <v/>
      </c>
      <c r="C45" s="33" t="str">
        <f t="shared" si="4"/>
        <v xml:space="preserve"> ... </v>
      </c>
      <c r="D45" s="33" t="str">
        <f t="shared" si="5"/>
        <v/>
      </c>
      <c r="E45" s="34" t="str">
        <f t="shared" si="13"/>
        <v/>
      </c>
      <c r="F45" s="34" t="str">
        <f t="shared" si="13"/>
        <v/>
      </c>
      <c r="G45" s="34" t="str">
        <f t="shared" si="13"/>
        <v/>
      </c>
      <c r="H45" s="34" t="str">
        <f t="shared" si="13"/>
        <v/>
      </c>
      <c r="I45" s="35"/>
      <c r="J45" s="40" t="str">
        <f t="shared" ca="1" si="10"/>
        <v>DE</v>
      </c>
      <c r="K45" s="41"/>
      <c r="L45" s="42"/>
      <c r="M45" s="42"/>
      <c r="N45" s="41"/>
      <c r="O45" s="41"/>
      <c r="P45" s="41"/>
      <c r="Q45" s="41" t="s">
        <v>228</v>
      </c>
      <c r="R45" s="42"/>
      <c r="S45" s="42"/>
      <c r="T45" s="42"/>
      <c r="U45" s="42"/>
      <c r="W45" s="37"/>
      <c r="X45" s="37"/>
      <c r="Y45" s="37"/>
      <c r="Z45" s="37"/>
      <c r="AB45" s="37">
        <v>1</v>
      </c>
      <c r="AC45" s="37">
        <v>1</v>
      </c>
      <c r="AD45" s="37">
        <v>1</v>
      </c>
      <c r="AE45" s="37">
        <v>1</v>
      </c>
      <c r="AG45" s="38">
        <f t="shared" si="12"/>
        <v>2</v>
      </c>
      <c r="AH45" s="38">
        <f t="shared" si="12"/>
        <v>2</v>
      </c>
      <c r="AI45" s="38">
        <f t="shared" si="12"/>
        <v>2</v>
      </c>
      <c r="AJ45" s="38">
        <f t="shared" si="12"/>
        <v>2</v>
      </c>
      <c r="AN45" s="39">
        <f t="shared" si="6"/>
        <v>0</v>
      </c>
      <c r="AO45" s="39">
        <f t="shared" si="7"/>
        <v>0</v>
      </c>
      <c r="AP45" s="39">
        <f t="shared" si="8"/>
        <v>0</v>
      </c>
      <c r="AQ45" s="39">
        <f t="shared" si="9"/>
        <v>0</v>
      </c>
    </row>
    <row r="46" spans="1:43" ht="75" customHeight="1">
      <c r="A46" s="32">
        <f t="shared" ca="1" si="2"/>
        <v>36</v>
      </c>
      <c r="B46" s="33" t="str">
        <f t="shared" si="3"/>
        <v/>
      </c>
      <c r="C46" s="33" t="str">
        <f t="shared" si="4"/>
        <v xml:space="preserve"> ... </v>
      </c>
      <c r="D46" s="33" t="str">
        <f t="shared" si="5"/>
        <v/>
      </c>
      <c r="E46" s="34" t="str">
        <f t="shared" si="13"/>
        <v/>
      </c>
      <c r="F46" s="34" t="str">
        <f t="shared" si="13"/>
        <v/>
      </c>
      <c r="G46" s="34" t="str">
        <f t="shared" si="13"/>
        <v/>
      </c>
      <c r="H46" s="34" t="str">
        <f t="shared" si="13"/>
        <v/>
      </c>
      <c r="I46" s="35"/>
      <c r="J46" s="40" t="str">
        <f t="shared" ca="1" si="10"/>
        <v>DE</v>
      </c>
      <c r="K46" s="41"/>
      <c r="L46" s="42"/>
      <c r="M46" s="42"/>
      <c r="N46" s="41"/>
      <c r="O46" s="41"/>
      <c r="P46" s="41"/>
      <c r="Q46" s="41" t="s">
        <v>228</v>
      </c>
      <c r="R46" s="42"/>
      <c r="S46" s="42"/>
      <c r="T46" s="42"/>
      <c r="U46" s="42"/>
      <c r="W46" s="37"/>
      <c r="X46" s="37"/>
      <c r="Y46" s="37"/>
      <c r="Z46" s="37"/>
      <c r="AB46" s="37">
        <v>1</v>
      </c>
      <c r="AC46" s="37">
        <v>1</v>
      </c>
      <c r="AD46" s="37">
        <v>1</v>
      </c>
      <c r="AE46" s="37">
        <v>1</v>
      </c>
      <c r="AG46" s="38">
        <f t="shared" si="12"/>
        <v>2</v>
      </c>
      <c r="AH46" s="38">
        <f t="shared" si="12"/>
        <v>2</v>
      </c>
      <c r="AI46" s="38">
        <f t="shared" si="12"/>
        <v>2</v>
      </c>
      <c r="AJ46" s="38">
        <f t="shared" si="12"/>
        <v>2</v>
      </c>
      <c r="AN46" s="39">
        <f t="shared" si="6"/>
        <v>0</v>
      </c>
      <c r="AO46" s="39">
        <f t="shared" si="7"/>
        <v>0</v>
      </c>
      <c r="AP46" s="39">
        <f t="shared" si="8"/>
        <v>0</v>
      </c>
      <c r="AQ46" s="39">
        <f t="shared" si="9"/>
        <v>0</v>
      </c>
    </row>
    <row r="47" spans="1:43" ht="75" customHeight="1">
      <c r="A47" s="32">
        <f t="shared" ca="1" si="2"/>
        <v>37</v>
      </c>
      <c r="B47" s="33" t="str">
        <f t="shared" si="3"/>
        <v/>
      </c>
      <c r="C47" s="33" t="str">
        <f t="shared" si="4"/>
        <v xml:space="preserve"> ... </v>
      </c>
      <c r="D47" s="33" t="str">
        <f t="shared" si="5"/>
        <v/>
      </c>
      <c r="E47" s="34" t="str">
        <f t="shared" si="13"/>
        <v/>
      </c>
      <c r="F47" s="34" t="str">
        <f t="shared" si="13"/>
        <v/>
      </c>
      <c r="G47" s="34" t="str">
        <f t="shared" si="13"/>
        <v/>
      </c>
      <c r="H47" s="34" t="str">
        <f t="shared" si="13"/>
        <v/>
      </c>
      <c r="I47" s="35"/>
      <c r="J47" s="40" t="str">
        <f t="shared" ca="1" si="10"/>
        <v>DE</v>
      </c>
      <c r="K47" s="41"/>
      <c r="L47" s="42"/>
      <c r="M47" s="42"/>
      <c r="N47" s="41"/>
      <c r="O47" s="41"/>
      <c r="P47" s="41"/>
      <c r="Q47" s="41" t="s">
        <v>228</v>
      </c>
      <c r="R47" s="42"/>
      <c r="S47" s="42"/>
      <c r="T47" s="42"/>
      <c r="U47" s="42"/>
      <c r="W47" s="37"/>
      <c r="X47" s="37"/>
      <c r="Y47" s="37"/>
      <c r="Z47" s="37"/>
      <c r="AB47" s="37">
        <v>1</v>
      </c>
      <c r="AC47" s="37">
        <v>1</v>
      </c>
      <c r="AD47" s="37">
        <v>1</v>
      </c>
      <c r="AE47" s="37">
        <v>1</v>
      </c>
      <c r="AG47" s="38">
        <f t="shared" si="12"/>
        <v>2</v>
      </c>
      <c r="AH47" s="38">
        <f t="shared" si="12"/>
        <v>2</v>
      </c>
      <c r="AI47" s="38">
        <f t="shared" si="12"/>
        <v>2</v>
      </c>
      <c r="AJ47" s="38">
        <f t="shared" si="12"/>
        <v>2</v>
      </c>
      <c r="AN47" s="39">
        <f t="shared" si="6"/>
        <v>0</v>
      </c>
      <c r="AO47" s="39">
        <f t="shared" si="7"/>
        <v>0</v>
      </c>
      <c r="AP47" s="39">
        <f t="shared" si="8"/>
        <v>0</v>
      </c>
      <c r="AQ47" s="39">
        <f t="shared" si="9"/>
        <v>0</v>
      </c>
    </row>
    <row r="48" spans="1:43" ht="75" customHeight="1">
      <c r="A48" s="32">
        <f t="shared" ca="1" si="2"/>
        <v>38</v>
      </c>
      <c r="B48" s="33" t="str">
        <f t="shared" si="3"/>
        <v/>
      </c>
      <c r="C48" s="33" t="str">
        <f t="shared" si="4"/>
        <v xml:space="preserve"> ... </v>
      </c>
      <c r="D48" s="33" t="str">
        <f t="shared" si="5"/>
        <v/>
      </c>
      <c r="E48" s="34" t="str">
        <f t="shared" si="13"/>
        <v/>
      </c>
      <c r="F48" s="34" t="str">
        <f t="shared" si="13"/>
        <v/>
      </c>
      <c r="G48" s="34" t="str">
        <f t="shared" si="13"/>
        <v/>
      </c>
      <c r="H48" s="34" t="str">
        <f t="shared" si="13"/>
        <v/>
      </c>
      <c r="I48" s="35"/>
      <c r="J48" s="40" t="str">
        <f t="shared" ca="1" si="10"/>
        <v>DE</v>
      </c>
      <c r="K48" s="41"/>
      <c r="L48" s="42"/>
      <c r="M48" s="42"/>
      <c r="N48" s="41"/>
      <c r="O48" s="41"/>
      <c r="P48" s="41"/>
      <c r="Q48" s="41" t="s">
        <v>228</v>
      </c>
      <c r="R48" s="42"/>
      <c r="S48" s="42"/>
      <c r="T48" s="42"/>
      <c r="U48" s="42"/>
      <c r="W48" s="37"/>
      <c r="X48" s="37"/>
      <c r="Y48" s="37"/>
      <c r="Z48" s="37"/>
      <c r="AB48" s="37">
        <v>1</v>
      </c>
      <c r="AC48" s="37">
        <v>1</v>
      </c>
      <c r="AD48" s="37">
        <v>1</v>
      </c>
      <c r="AE48" s="37">
        <v>1</v>
      </c>
      <c r="AG48" s="38">
        <f t="shared" si="12"/>
        <v>2</v>
      </c>
      <c r="AH48" s="38">
        <f t="shared" si="12"/>
        <v>2</v>
      </c>
      <c r="AI48" s="38">
        <f t="shared" si="12"/>
        <v>2</v>
      </c>
      <c r="AJ48" s="38">
        <f t="shared" si="12"/>
        <v>2</v>
      </c>
      <c r="AN48" s="39">
        <f t="shared" si="6"/>
        <v>0</v>
      </c>
      <c r="AO48" s="39">
        <f t="shared" si="7"/>
        <v>0</v>
      </c>
      <c r="AP48" s="39">
        <f t="shared" si="8"/>
        <v>0</v>
      </c>
      <c r="AQ48" s="39">
        <f t="shared" si="9"/>
        <v>0</v>
      </c>
    </row>
    <row r="49" spans="1:43" ht="75" customHeight="1">
      <c r="A49" s="32">
        <f t="shared" ca="1" si="2"/>
        <v>39</v>
      </c>
      <c r="B49" s="33" t="str">
        <f t="shared" si="3"/>
        <v/>
      </c>
      <c r="C49" s="33" t="str">
        <f t="shared" si="4"/>
        <v xml:space="preserve"> ... </v>
      </c>
      <c r="D49" s="33" t="str">
        <f t="shared" si="5"/>
        <v/>
      </c>
      <c r="E49" s="34" t="str">
        <f t="shared" si="13"/>
        <v/>
      </c>
      <c r="F49" s="34" t="str">
        <f t="shared" si="13"/>
        <v/>
      </c>
      <c r="G49" s="34" t="str">
        <f t="shared" si="13"/>
        <v/>
      </c>
      <c r="H49" s="34" t="str">
        <f t="shared" si="13"/>
        <v/>
      </c>
      <c r="I49" s="35"/>
      <c r="J49" s="40" t="str">
        <f t="shared" ca="1" si="10"/>
        <v>DE</v>
      </c>
      <c r="K49" s="41"/>
      <c r="L49" s="42"/>
      <c r="M49" s="42"/>
      <c r="N49" s="41"/>
      <c r="O49" s="41"/>
      <c r="P49" s="41"/>
      <c r="Q49" s="41" t="s">
        <v>228</v>
      </c>
      <c r="R49" s="42"/>
      <c r="S49" s="42"/>
      <c r="T49" s="42"/>
      <c r="U49" s="42"/>
      <c r="W49" s="37"/>
      <c r="X49" s="37"/>
      <c r="Y49" s="37"/>
      <c r="Z49" s="37"/>
      <c r="AB49" s="37">
        <v>1</v>
      </c>
      <c r="AC49" s="37">
        <v>1</v>
      </c>
      <c r="AD49" s="37">
        <v>1</v>
      </c>
      <c r="AE49" s="37">
        <v>1</v>
      </c>
      <c r="AG49" s="38">
        <f t="shared" si="12"/>
        <v>2</v>
      </c>
      <c r="AH49" s="38">
        <f t="shared" si="12"/>
        <v>2</v>
      </c>
      <c r="AI49" s="38">
        <f t="shared" si="12"/>
        <v>2</v>
      </c>
      <c r="AJ49" s="38">
        <f t="shared" si="12"/>
        <v>2</v>
      </c>
      <c r="AN49" s="39">
        <f t="shared" si="6"/>
        <v>0</v>
      </c>
      <c r="AO49" s="39">
        <f t="shared" si="7"/>
        <v>0</v>
      </c>
      <c r="AP49" s="39">
        <f t="shared" si="8"/>
        <v>0</v>
      </c>
      <c r="AQ49" s="39">
        <f t="shared" si="9"/>
        <v>0</v>
      </c>
    </row>
    <row r="50" spans="1:43" ht="75" customHeight="1">
      <c r="A50" s="32">
        <f t="shared" ca="1" si="2"/>
        <v>40</v>
      </c>
      <c r="B50" s="33" t="str">
        <f t="shared" si="3"/>
        <v/>
      </c>
      <c r="C50" s="33" t="str">
        <f t="shared" si="4"/>
        <v xml:space="preserve"> ... </v>
      </c>
      <c r="D50" s="33" t="str">
        <f t="shared" si="5"/>
        <v/>
      </c>
      <c r="E50" s="34" t="str">
        <f t="shared" si="13"/>
        <v/>
      </c>
      <c r="F50" s="34" t="str">
        <f t="shared" si="13"/>
        <v/>
      </c>
      <c r="G50" s="34" t="str">
        <f t="shared" si="13"/>
        <v/>
      </c>
      <c r="H50" s="34" t="str">
        <f t="shared" si="13"/>
        <v/>
      </c>
      <c r="I50" s="35"/>
      <c r="J50" s="40" t="str">
        <f t="shared" ca="1" si="10"/>
        <v>DE</v>
      </c>
      <c r="K50" s="41"/>
      <c r="L50" s="42"/>
      <c r="M50" s="42"/>
      <c r="N50" s="41"/>
      <c r="O50" s="41"/>
      <c r="P50" s="41"/>
      <c r="Q50" s="41" t="s">
        <v>228</v>
      </c>
      <c r="R50" s="42"/>
      <c r="S50" s="42"/>
      <c r="T50" s="42"/>
      <c r="U50" s="42"/>
      <c r="W50" s="37"/>
      <c r="X50" s="37"/>
      <c r="Y50" s="37"/>
      <c r="Z50" s="37"/>
      <c r="AB50" s="37">
        <v>1</v>
      </c>
      <c r="AC50" s="37">
        <v>1</v>
      </c>
      <c r="AD50" s="37">
        <v>1</v>
      </c>
      <c r="AE50" s="37">
        <v>1</v>
      </c>
      <c r="AG50" s="38">
        <f t="shared" si="12"/>
        <v>2</v>
      </c>
      <c r="AH50" s="38">
        <f t="shared" si="12"/>
        <v>2</v>
      </c>
      <c r="AI50" s="38">
        <f t="shared" si="12"/>
        <v>2</v>
      </c>
      <c r="AJ50" s="38">
        <f t="shared" si="12"/>
        <v>2</v>
      </c>
      <c r="AN50" s="39">
        <f t="shared" si="6"/>
        <v>0</v>
      </c>
      <c r="AO50" s="39">
        <f t="shared" si="7"/>
        <v>0</v>
      </c>
      <c r="AP50" s="39">
        <f t="shared" si="8"/>
        <v>0</v>
      </c>
      <c r="AQ50" s="39">
        <f t="shared" si="9"/>
        <v>0</v>
      </c>
    </row>
    <row r="51" spans="1:43" ht="75" customHeight="1">
      <c r="A51" s="32">
        <f t="shared" ca="1" si="2"/>
        <v>41</v>
      </c>
      <c r="B51" s="33" t="str">
        <f t="shared" si="3"/>
        <v/>
      </c>
      <c r="C51" s="33" t="str">
        <f t="shared" si="4"/>
        <v xml:space="preserve"> ... </v>
      </c>
      <c r="D51" s="33" t="str">
        <f t="shared" si="5"/>
        <v/>
      </c>
      <c r="E51" s="34" t="str">
        <f t="shared" si="13"/>
        <v/>
      </c>
      <c r="F51" s="34" t="str">
        <f t="shared" si="13"/>
        <v/>
      </c>
      <c r="G51" s="34" t="str">
        <f t="shared" si="13"/>
        <v/>
      </c>
      <c r="H51" s="34" t="str">
        <f t="shared" si="13"/>
        <v/>
      </c>
      <c r="I51" s="35"/>
      <c r="J51" s="40" t="str">
        <f t="shared" ca="1" si="10"/>
        <v>DE</v>
      </c>
      <c r="K51" s="41"/>
      <c r="L51" s="42"/>
      <c r="M51" s="42"/>
      <c r="N51" s="41"/>
      <c r="O51" s="41"/>
      <c r="P51" s="41"/>
      <c r="Q51" s="41" t="s">
        <v>228</v>
      </c>
      <c r="R51" s="42"/>
      <c r="S51" s="42"/>
      <c r="T51" s="42"/>
      <c r="U51" s="42"/>
      <c r="W51" s="37"/>
      <c r="X51" s="37"/>
      <c r="Y51" s="37"/>
      <c r="Z51" s="37"/>
      <c r="AB51" s="37">
        <v>1</v>
      </c>
      <c r="AC51" s="37">
        <v>1</v>
      </c>
      <c r="AD51" s="37">
        <v>1</v>
      </c>
      <c r="AE51" s="37">
        <v>1</v>
      </c>
      <c r="AG51" s="38">
        <f t="shared" si="12"/>
        <v>2</v>
      </c>
      <c r="AH51" s="38">
        <f t="shared" si="12"/>
        <v>2</v>
      </c>
      <c r="AI51" s="38">
        <f t="shared" si="12"/>
        <v>2</v>
      </c>
      <c r="AJ51" s="38">
        <f t="shared" si="12"/>
        <v>2</v>
      </c>
      <c r="AN51" s="39">
        <f t="shared" si="6"/>
        <v>0</v>
      </c>
      <c r="AO51" s="39">
        <f t="shared" si="7"/>
        <v>0</v>
      </c>
      <c r="AP51" s="39">
        <f t="shared" si="8"/>
        <v>0</v>
      </c>
      <c r="AQ51" s="39">
        <f t="shared" si="9"/>
        <v>0</v>
      </c>
    </row>
    <row r="52" spans="1:43" ht="75" customHeight="1">
      <c r="A52" s="32">
        <f t="shared" ca="1" si="2"/>
        <v>42</v>
      </c>
      <c r="B52" s="33" t="str">
        <f t="shared" si="3"/>
        <v/>
      </c>
      <c r="C52" s="33" t="str">
        <f t="shared" si="4"/>
        <v xml:space="preserve"> ... </v>
      </c>
      <c r="D52" s="33" t="str">
        <f t="shared" si="5"/>
        <v/>
      </c>
      <c r="E52" s="34" t="str">
        <f t="shared" si="13"/>
        <v/>
      </c>
      <c r="F52" s="34" t="str">
        <f t="shared" si="13"/>
        <v/>
      </c>
      <c r="G52" s="34" t="str">
        <f t="shared" si="13"/>
        <v/>
      </c>
      <c r="H52" s="34" t="str">
        <f t="shared" si="13"/>
        <v/>
      </c>
      <c r="I52" s="35"/>
      <c r="J52" s="40" t="str">
        <f t="shared" ca="1" si="10"/>
        <v>DE</v>
      </c>
      <c r="K52" s="41"/>
      <c r="L52" s="42"/>
      <c r="M52" s="42"/>
      <c r="N52" s="41"/>
      <c r="O52" s="41"/>
      <c r="P52" s="41"/>
      <c r="Q52" s="41" t="s">
        <v>228</v>
      </c>
      <c r="R52" s="42"/>
      <c r="S52" s="42"/>
      <c r="T52" s="42"/>
      <c r="U52" s="42"/>
      <c r="W52" s="37"/>
      <c r="X52" s="37"/>
      <c r="Y52" s="37"/>
      <c r="Z52" s="37"/>
      <c r="AB52" s="37">
        <v>1</v>
      </c>
      <c r="AC52" s="37">
        <v>1</v>
      </c>
      <c r="AD52" s="37">
        <v>1</v>
      </c>
      <c r="AE52" s="37">
        <v>1</v>
      </c>
      <c r="AG52" s="38">
        <f t="shared" si="12"/>
        <v>2</v>
      </c>
      <c r="AH52" s="38">
        <f t="shared" si="12"/>
        <v>2</v>
      </c>
      <c r="AI52" s="38">
        <f t="shared" si="12"/>
        <v>2</v>
      </c>
      <c r="AJ52" s="38">
        <f t="shared" si="12"/>
        <v>2</v>
      </c>
      <c r="AN52" s="39">
        <f t="shared" si="6"/>
        <v>0</v>
      </c>
      <c r="AO52" s="39">
        <f t="shared" si="7"/>
        <v>0</v>
      </c>
      <c r="AP52" s="39">
        <f t="shared" si="8"/>
        <v>0</v>
      </c>
      <c r="AQ52" s="39">
        <f t="shared" si="9"/>
        <v>0</v>
      </c>
    </row>
    <row r="53" spans="1:43" ht="75" customHeight="1">
      <c r="A53" s="32">
        <f t="shared" ca="1" si="2"/>
        <v>43</v>
      </c>
      <c r="B53" s="33" t="str">
        <f t="shared" si="3"/>
        <v/>
      </c>
      <c r="C53" s="33" t="str">
        <f t="shared" si="4"/>
        <v xml:space="preserve"> ... </v>
      </c>
      <c r="D53" s="33" t="str">
        <f t="shared" si="5"/>
        <v/>
      </c>
      <c r="E53" s="34" t="str">
        <f t="shared" si="13"/>
        <v/>
      </c>
      <c r="F53" s="34" t="str">
        <f t="shared" si="13"/>
        <v/>
      </c>
      <c r="G53" s="34" t="str">
        <f t="shared" si="13"/>
        <v/>
      </c>
      <c r="H53" s="34" t="str">
        <f t="shared" si="13"/>
        <v/>
      </c>
      <c r="I53" s="35"/>
      <c r="J53" s="40" t="str">
        <f t="shared" ca="1" si="10"/>
        <v>DE</v>
      </c>
      <c r="K53" s="41"/>
      <c r="L53" s="42"/>
      <c r="M53" s="42"/>
      <c r="N53" s="41"/>
      <c r="O53" s="41"/>
      <c r="P53" s="41"/>
      <c r="Q53" s="41" t="s">
        <v>228</v>
      </c>
      <c r="R53" s="42"/>
      <c r="S53" s="42"/>
      <c r="T53" s="42"/>
      <c r="U53" s="42"/>
      <c r="W53" s="37"/>
      <c r="X53" s="37"/>
      <c r="Y53" s="37"/>
      <c r="Z53" s="37"/>
      <c r="AB53" s="37">
        <v>1</v>
      </c>
      <c r="AC53" s="37">
        <v>1</v>
      </c>
      <c r="AD53" s="37">
        <v>1</v>
      </c>
      <c r="AE53" s="37">
        <v>1</v>
      </c>
      <c r="AG53" s="38">
        <f t="shared" si="12"/>
        <v>2</v>
      </c>
      <c r="AH53" s="38">
        <f t="shared" si="12"/>
        <v>2</v>
      </c>
      <c r="AI53" s="38">
        <f t="shared" si="12"/>
        <v>2</v>
      </c>
      <c r="AJ53" s="38">
        <f t="shared" si="12"/>
        <v>2</v>
      </c>
      <c r="AN53" s="39">
        <f t="shared" si="6"/>
        <v>0</v>
      </c>
      <c r="AO53" s="39">
        <f t="shared" si="7"/>
        <v>0</v>
      </c>
      <c r="AP53" s="39">
        <f t="shared" si="8"/>
        <v>0</v>
      </c>
      <c r="AQ53" s="39">
        <f t="shared" si="9"/>
        <v>0</v>
      </c>
    </row>
    <row r="54" spans="1:43" ht="75" customHeight="1">
      <c r="A54" s="32">
        <f t="shared" ca="1" si="2"/>
        <v>44</v>
      </c>
      <c r="B54" s="33" t="str">
        <f t="shared" si="3"/>
        <v/>
      </c>
      <c r="C54" s="33" t="str">
        <f t="shared" si="4"/>
        <v xml:space="preserve"> ... </v>
      </c>
      <c r="D54" s="33" t="str">
        <f t="shared" si="5"/>
        <v/>
      </c>
      <c r="E54" s="34" t="str">
        <f t="shared" si="13"/>
        <v/>
      </c>
      <c r="F54" s="34" t="str">
        <f t="shared" si="13"/>
        <v/>
      </c>
      <c r="G54" s="34" t="str">
        <f t="shared" si="13"/>
        <v/>
      </c>
      <c r="H54" s="34" t="str">
        <f t="shared" si="13"/>
        <v/>
      </c>
      <c r="I54" s="35"/>
      <c r="J54" s="40" t="str">
        <f t="shared" ca="1" si="10"/>
        <v>DE</v>
      </c>
      <c r="K54" s="41"/>
      <c r="L54" s="42"/>
      <c r="M54" s="42"/>
      <c r="N54" s="41"/>
      <c r="O54" s="41"/>
      <c r="P54" s="41"/>
      <c r="Q54" s="41" t="s">
        <v>228</v>
      </c>
      <c r="R54" s="42"/>
      <c r="S54" s="42"/>
      <c r="T54" s="42"/>
      <c r="U54" s="42"/>
      <c r="W54" s="37"/>
      <c r="X54" s="37"/>
      <c r="Y54" s="37"/>
      <c r="Z54" s="37"/>
      <c r="AB54" s="37">
        <v>1</v>
      </c>
      <c r="AC54" s="37">
        <v>1</v>
      </c>
      <c r="AD54" s="37">
        <v>1</v>
      </c>
      <c r="AE54" s="37">
        <v>1</v>
      </c>
      <c r="AG54" s="38">
        <f t="shared" si="12"/>
        <v>2</v>
      </c>
      <c r="AH54" s="38">
        <f t="shared" si="12"/>
        <v>2</v>
      </c>
      <c r="AI54" s="38">
        <f t="shared" si="12"/>
        <v>2</v>
      </c>
      <c r="AJ54" s="38">
        <f t="shared" si="12"/>
        <v>2</v>
      </c>
      <c r="AN54" s="39">
        <f t="shared" si="6"/>
        <v>0</v>
      </c>
      <c r="AO54" s="39">
        <f t="shared" si="7"/>
        <v>0</v>
      </c>
      <c r="AP54" s="39">
        <f t="shared" si="8"/>
        <v>0</v>
      </c>
      <c r="AQ54" s="39">
        <f t="shared" si="9"/>
        <v>0</v>
      </c>
    </row>
    <row r="55" spans="1:43" ht="75" customHeight="1">
      <c r="A55" s="32">
        <f t="shared" ca="1" si="2"/>
        <v>45</v>
      </c>
      <c r="B55" s="33" t="str">
        <f t="shared" si="3"/>
        <v/>
      </c>
      <c r="C55" s="33" t="str">
        <f t="shared" si="4"/>
        <v xml:space="preserve"> ... </v>
      </c>
      <c r="D55" s="33" t="str">
        <f t="shared" si="5"/>
        <v/>
      </c>
      <c r="E55" s="34" t="str">
        <f t="shared" si="13"/>
        <v/>
      </c>
      <c r="F55" s="34" t="str">
        <f t="shared" si="13"/>
        <v/>
      </c>
      <c r="G55" s="34" t="str">
        <f t="shared" si="13"/>
        <v/>
      </c>
      <c r="H55" s="34" t="str">
        <f t="shared" si="13"/>
        <v/>
      </c>
      <c r="I55" s="35"/>
      <c r="J55" s="40" t="str">
        <f t="shared" ca="1" si="10"/>
        <v>DE</v>
      </c>
      <c r="K55" s="41"/>
      <c r="L55" s="42"/>
      <c r="M55" s="42"/>
      <c r="N55" s="41"/>
      <c r="O55" s="41"/>
      <c r="P55" s="41"/>
      <c r="Q55" s="41" t="s">
        <v>228</v>
      </c>
      <c r="R55" s="42"/>
      <c r="S55" s="42"/>
      <c r="T55" s="42"/>
      <c r="U55" s="42"/>
      <c r="W55" s="37"/>
      <c r="X55" s="37"/>
      <c r="Y55" s="37"/>
      <c r="Z55" s="37"/>
      <c r="AB55" s="37">
        <v>1</v>
      </c>
      <c r="AC55" s="37">
        <v>1</v>
      </c>
      <c r="AD55" s="37">
        <v>1</v>
      </c>
      <c r="AE55" s="37">
        <v>1</v>
      </c>
      <c r="AG55" s="38">
        <f t="shared" si="12"/>
        <v>2</v>
      </c>
      <c r="AH55" s="38">
        <f t="shared" si="12"/>
        <v>2</v>
      </c>
      <c r="AI55" s="38">
        <f t="shared" si="12"/>
        <v>2</v>
      </c>
      <c r="AJ55" s="38">
        <f t="shared" si="12"/>
        <v>2</v>
      </c>
      <c r="AN55" s="39">
        <f t="shared" si="6"/>
        <v>0</v>
      </c>
      <c r="AO55" s="39">
        <f t="shared" si="7"/>
        <v>0</v>
      </c>
      <c r="AP55" s="39">
        <f t="shared" si="8"/>
        <v>0</v>
      </c>
      <c r="AQ55" s="39">
        <f t="shared" si="9"/>
        <v>0</v>
      </c>
    </row>
    <row r="56" spans="1:43" ht="75" customHeight="1">
      <c r="A56" s="32">
        <f t="shared" ca="1" si="2"/>
        <v>46</v>
      </c>
      <c r="B56" s="33" t="str">
        <f t="shared" si="3"/>
        <v/>
      </c>
      <c r="C56" s="33" t="str">
        <f t="shared" si="4"/>
        <v xml:space="preserve"> ... </v>
      </c>
      <c r="D56" s="33" t="str">
        <f t="shared" si="5"/>
        <v/>
      </c>
      <c r="E56" s="34" t="str">
        <f t="shared" si="13"/>
        <v/>
      </c>
      <c r="F56" s="34" t="str">
        <f t="shared" si="13"/>
        <v/>
      </c>
      <c r="G56" s="34" t="str">
        <f t="shared" si="13"/>
        <v/>
      </c>
      <c r="H56" s="34" t="str">
        <f t="shared" si="13"/>
        <v/>
      </c>
      <c r="I56" s="35"/>
      <c r="J56" s="40" t="str">
        <f t="shared" ca="1" si="10"/>
        <v>DE</v>
      </c>
      <c r="K56" s="41"/>
      <c r="L56" s="42"/>
      <c r="M56" s="42"/>
      <c r="N56" s="41"/>
      <c r="O56" s="41"/>
      <c r="P56" s="41"/>
      <c r="Q56" s="41" t="s">
        <v>228</v>
      </c>
      <c r="R56" s="42"/>
      <c r="S56" s="42"/>
      <c r="T56" s="42"/>
      <c r="U56" s="42"/>
      <c r="W56" s="37"/>
      <c r="X56" s="37"/>
      <c r="Y56" s="37"/>
      <c r="Z56" s="37"/>
      <c r="AB56" s="37">
        <v>1</v>
      </c>
      <c r="AC56" s="37">
        <v>1</v>
      </c>
      <c r="AD56" s="37">
        <v>1</v>
      </c>
      <c r="AE56" s="37">
        <v>1</v>
      </c>
      <c r="AG56" s="38">
        <f t="shared" si="12"/>
        <v>2</v>
      </c>
      <c r="AH56" s="38">
        <f t="shared" si="12"/>
        <v>2</v>
      </c>
      <c r="AI56" s="38">
        <f t="shared" si="12"/>
        <v>2</v>
      </c>
      <c r="AJ56" s="38">
        <f t="shared" si="12"/>
        <v>2</v>
      </c>
      <c r="AN56" s="39">
        <f t="shared" si="6"/>
        <v>0</v>
      </c>
      <c r="AO56" s="39">
        <f t="shared" si="7"/>
        <v>0</v>
      </c>
      <c r="AP56" s="39">
        <f t="shared" si="8"/>
        <v>0</v>
      </c>
      <c r="AQ56" s="39">
        <f t="shared" si="9"/>
        <v>0</v>
      </c>
    </row>
    <row r="57" spans="1:43" ht="75" customHeight="1">
      <c r="A57" s="32">
        <f t="shared" ca="1" si="2"/>
        <v>47</v>
      </c>
      <c r="B57" s="33" t="str">
        <f t="shared" si="3"/>
        <v/>
      </c>
      <c r="C57" s="33" t="str">
        <f t="shared" si="4"/>
        <v xml:space="preserve"> ... </v>
      </c>
      <c r="D57" s="33" t="str">
        <f t="shared" si="5"/>
        <v/>
      </c>
      <c r="E57" s="34" t="str">
        <f t="shared" si="13"/>
        <v/>
      </c>
      <c r="F57" s="34" t="str">
        <f t="shared" si="13"/>
        <v/>
      </c>
      <c r="G57" s="34" t="str">
        <f t="shared" si="13"/>
        <v/>
      </c>
      <c r="H57" s="34" t="str">
        <f t="shared" si="13"/>
        <v/>
      </c>
      <c r="I57" s="35"/>
      <c r="J57" s="40" t="str">
        <f t="shared" ca="1" si="10"/>
        <v>DE</v>
      </c>
      <c r="K57" s="41"/>
      <c r="L57" s="42"/>
      <c r="M57" s="42"/>
      <c r="N57" s="41"/>
      <c r="O57" s="41"/>
      <c r="P57" s="41"/>
      <c r="Q57" s="41" t="s">
        <v>228</v>
      </c>
      <c r="R57" s="42"/>
      <c r="S57" s="42"/>
      <c r="T57" s="42"/>
      <c r="U57" s="42"/>
      <c r="W57" s="37"/>
      <c r="X57" s="37"/>
      <c r="Y57" s="37"/>
      <c r="Z57" s="37"/>
      <c r="AB57" s="37">
        <v>1</v>
      </c>
      <c r="AC57" s="37">
        <v>1</v>
      </c>
      <c r="AD57" s="37">
        <v>1</v>
      </c>
      <c r="AE57" s="37">
        <v>1</v>
      </c>
      <c r="AG57" s="38">
        <f t="shared" si="12"/>
        <v>2</v>
      </c>
      <c r="AH57" s="38">
        <f t="shared" si="12"/>
        <v>2</v>
      </c>
      <c r="AI57" s="38">
        <f t="shared" si="12"/>
        <v>2</v>
      </c>
      <c r="AJ57" s="38">
        <f t="shared" si="12"/>
        <v>2</v>
      </c>
      <c r="AN57" s="39">
        <f t="shared" si="6"/>
        <v>0</v>
      </c>
      <c r="AO57" s="39">
        <f t="shared" si="7"/>
        <v>0</v>
      </c>
      <c r="AP57" s="39">
        <f t="shared" si="8"/>
        <v>0</v>
      </c>
      <c r="AQ57" s="39">
        <f t="shared" si="9"/>
        <v>0</v>
      </c>
    </row>
    <row r="58" spans="1:43" ht="75" customHeight="1">
      <c r="A58" s="32">
        <f t="shared" ca="1" si="2"/>
        <v>48</v>
      </c>
      <c r="B58" s="33" t="str">
        <f t="shared" si="3"/>
        <v/>
      </c>
      <c r="C58" s="33" t="str">
        <f t="shared" si="4"/>
        <v xml:space="preserve"> ... </v>
      </c>
      <c r="D58" s="33" t="str">
        <f t="shared" si="5"/>
        <v/>
      </c>
      <c r="E58" s="34" t="str">
        <f t="shared" si="13"/>
        <v/>
      </c>
      <c r="F58" s="34" t="str">
        <f t="shared" si="13"/>
        <v/>
      </c>
      <c r="G58" s="34" t="str">
        <f t="shared" si="13"/>
        <v/>
      </c>
      <c r="H58" s="34" t="str">
        <f t="shared" si="13"/>
        <v/>
      </c>
      <c r="I58" s="35"/>
      <c r="J58" s="40" t="str">
        <f t="shared" ca="1" si="10"/>
        <v>DE</v>
      </c>
      <c r="K58" s="41"/>
      <c r="L58" s="42"/>
      <c r="M58" s="42"/>
      <c r="N58" s="41"/>
      <c r="O58" s="41"/>
      <c r="P58" s="41"/>
      <c r="Q58" s="41" t="s">
        <v>228</v>
      </c>
      <c r="R58" s="42"/>
      <c r="S58" s="42"/>
      <c r="T58" s="42"/>
      <c r="U58" s="42"/>
      <c r="W58" s="37"/>
      <c r="X58" s="37"/>
      <c r="Y58" s="37"/>
      <c r="Z58" s="37"/>
      <c r="AB58" s="37">
        <v>1</v>
      </c>
      <c r="AC58" s="37">
        <v>1</v>
      </c>
      <c r="AD58" s="37">
        <v>1</v>
      </c>
      <c r="AE58" s="37">
        <v>1</v>
      </c>
      <c r="AG58" s="38">
        <f t="shared" si="12"/>
        <v>2</v>
      </c>
      <c r="AH58" s="38">
        <f t="shared" si="12"/>
        <v>2</v>
      </c>
      <c r="AI58" s="38">
        <f t="shared" si="12"/>
        <v>2</v>
      </c>
      <c r="AJ58" s="38">
        <f t="shared" si="12"/>
        <v>2</v>
      </c>
      <c r="AN58" s="39">
        <f t="shared" si="6"/>
        <v>0</v>
      </c>
      <c r="AO58" s="39">
        <f t="shared" si="7"/>
        <v>0</v>
      </c>
      <c r="AP58" s="39">
        <f t="shared" si="8"/>
        <v>0</v>
      </c>
      <c r="AQ58" s="39">
        <f t="shared" si="9"/>
        <v>0</v>
      </c>
    </row>
    <row r="59" spans="1:43" ht="75" customHeight="1">
      <c r="A59" s="32">
        <f t="shared" ca="1" si="2"/>
        <v>49</v>
      </c>
      <c r="B59" s="33" t="str">
        <f t="shared" si="3"/>
        <v/>
      </c>
      <c r="C59" s="33" t="str">
        <f t="shared" si="4"/>
        <v xml:space="preserve"> ... </v>
      </c>
      <c r="D59" s="33" t="str">
        <f t="shared" si="5"/>
        <v/>
      </c>
      <c r="E59" s="34" t="str">
        <f t="shared" si="13"/>
        <v/>
      </c>
      <c r="F59" s="34" t="str">
        <f t="shared" si="13"/>
        <v/>
      </c>
      <c r="G59" s="34" t="str">
        <f t="shared" si="13"/>
        <v/>
      </c>
      <c r="H59" s="34" t="str">
        <f t="shared" si="13"/>
        <v/>
      </c>
      <c r="I59" s="35"/>
      <c r="J59" s="40" t="str">
        <f t="shared" ca="1" si="10"/>
        <v>DE</v>
      </c>
      <c r="K59" s="41"/>
      <c r="L59" s="42"/>
      <c r="M59" s="42"/>
      <c r="N59" s="41"/>
      <c r="O59" s="41"/>
      <c r="P59" s="41"/>
      <c r="Q59" s="41" t="s">
        <v>228</v>
      </c>
      <c r="R59" s="42"/>
      <c r="S59" s="42"/>
      <c r="T59" s="42"/>
      <c r="U59" s="42"/>
      <c r="W59" s="37"/>
      <c r="X59" s="37"/>
      <c r="Y59" s="37"/>
      <c r="Z59" s="37"/>
      <c r="AB59" s="37">
        <v>1</v>
      </c>
      <c r="AC59" s="37">
        <v>1</v>
      </c>
      <c r="AD59" s="37">
        <v>1</v>
      </c>
      <c r="AE59" s="37">
        <v>1</v>
      </c>
      <c r="AG59" s="38">
        <f t="shared" ref="AG59:AJ61" si="14">IF(AND($K59="N",$Q59="Gen"),1,IF(OR($K59&lt;&gt;$K58,$Q59&lt;&gt;$Q58),MOD(AG58+1,2)+2,AG58))</f>
        <v>2</v>
      </c>
      <c r="AH59" s="38">
        <f t="shared" si="14"/>
        <v>2</v>
      </c>
      <c r="AI59" s="38">
        <f t="shared" si="14"/>
        <v>2</v>
      </c>
      <c r="AJ59" s="38">
        <f t="shared" si="14"/>
        <v>2</v>
      </c>
      <c r="AN59" s="39">
        <f t="shared" si="6"/>
        <v>0</v>
      </c>
      <c r="AO59" s="39">
        <f t="shared" si="7"/>
        <v>0</v>
      </c>
      <c r="AP59" s="39">
        <f t="shared" si="8"/>
        <v>0</v>
      </c>
      <c r="AQ59" s="39">
        <f t="shared" si="9"/>
        <v>0</v>
      </c>
    </row>
    <row r="60" spans="1:43" ht="75" customHeight="1">
      <c r="A60" s="32">
        <f t="shared" ca="1" si="2"/>
        <v>50</v>
      </c>
      <c r="B60" s="33" t="str">
        <f t="shared" si="3"/>
        <v/>
      </c>
      <c r="C60" s="33" t="str">
        <f t="shared" si="4"/>
        <v xml:space="preserve"> ... </v>
      </c>
      <c r="D60" s="33" t="str">
        <f t="shared" si="5"/>
        <v/>
      </c>
      <c r="E60" s="34" t="str">
        <f t="shared" si="13"/>
        <v/>
      </c>
      <c r="F60" s="34" t="str">
        <f t="shared" si="13"/>
        <v/>
      </c>
      <c r="G60" s="34" t="str">
        <f t="shared" si="13"/>
        <v/>
      </c>
      <c r="H60" s="34" t="str">
        <f t="shared" si="13"/>
        <v/>
      </c>
      <c r="I60" s="35"/>
      <c r="J60" s="40" t="str">
        <f t="shared" ca="1" si="10"/>
        <v>DE</v>
      </c>
      <c r="K60" s="41"/>
      <c r="L60" s="42"/>
      <c r="M60" s="42"/>
      <c r="N60" s="41"/>
      <c r="O60" s="41"/>
      <c r="P60" s="41"/>
      <c r="Q60" s="41" t="s">
        <v>228</v>
      </c>
      <c r="R60" s="42"/>
      <c r="S60" s="42"/>
      <c r="T60" s="42"/>
      <c r="U60" s="42"/>
      <c r="W60" s="37"/>
      <c r="X60" s="37"/>
      <c r="Y60" s="37"/>
      <c r="Z60" s="37"/>
      <c r="AB60" s="37">
        <v>1</v>
      </c>
      <c r="AC60" s="37">
        <v>1</v>
      </c>
      <c r="AD60" s="37">
        <v>1</v>
      </c>
      <c r="AE60" s="37">
        <v>1</v>
      </c>
      <c r="AG60" s="38">
        <f t="shared" si="14"/>
        <v>2</v>
      </c>
      <c r="AH60" s="38">
        <f t="shared" si="14"/>
        <v>2</v>
      </c>
      <c r="AI60" s="38">
        <f t="shared" si="14"/>
        <v>2</v>
      </c>
      <c r="AJ60" s="38">
        <f t="shared" si="14"/>
        <v>2</v>
      </c>
      <c r="AN60" s="39">
        <f t="shared" si="6"/>
        <v>0</v>
      </c>
      <c r="AO60" s="39">
        <f t="shared" si="7"/>
        <v>0</v>
      </c>
      <c r="AP60" s="39">
        <f t="shared" si="8"/>
        <v>0</v>
      </c>
      <c r="AQ60" s="39">
        <f t="shared" si="9"/>
        <v>0</v>
      </c>
    </row>
    <row r="61" spans="1:43" ht="75" customHeight="1">
      <c r="A61" s="32">
        <f t="shared" ca="1" si="2"/>
        <v>51</v>
      </c>
      <c r="B61" s="33" t="str">
        <f t="shared" si="3"/>
        <v/>
      </c>
      <c r="C61" s="33" t="str">
        <f t="shared" si="4"/>
        <v xml:space="preserve"> ... </v>
      </c>
      <c r="D61" s="33" t="str">
        <f t="shared" si="5"/>
        <v/>
      </c>
      <c r="E61" s="34" t="str">
        <f t="shared" si="13"/>
        <v/>
      </c>
      <c r="F61" s="34" t="str">
        <f t="shared" si="13"/>
        <v/>
      </c>
      <c r="G61" s="34" t="str">
        <f t="shared" si="13"/>
        <v/>
      </c>
      <c r="H61" s="34" t="str">
        <f t="shared" si="13"/>
        <v/>
      </c>
      <c r="I61" s="35"/>
      <c r="J61" s="40" t="str">
        <f t="shared" ca="1" si="10"/>
        <v>DE</v>
      </c>
      <c r="K61" s="41"/>
      <c r="L61" s="42"/>
      <c r="M61" s="42"/>
      <c r="N61" s="41"/>
      <c r="O61" s="41"/>
      <c r="P61" s="41"/>
      <c r="Q61" s="41" t="s">
        <v>228</v>
      </c>
      <c r="R61" s="42"/>
      <c r="S61" s="42"/>
      <c r="T61" s="42"/>
      <c r="U61" s="42"/>
      <c r="W61" s="37"/>
      <c r="X61" s="37"/>
      <c r="Y61" s="37"/>
      <c r="Z61" s="37"/>
      <c r="AB61" s="37">
        <v>1</v>
      </c>
      <c r="AC61" s="37">
        <v>1</v>
      </c>
      <c r="AD61" s="37">
        <v>1</v>
      </c>
      <c r="AE61" s="37">
        <v>1</v>
      </c>
      <c r="AG61" s="38">
        <f t="shared" si="14"/>
        <v>2</v>
      </c>
      <c r="AH61" s="38">
        <f t="shared" si="14"/>
        <v>2</v>
      </c>
      <c r="AI61" s="38">
        <f t="shared" si="14"/>
        <v>2</v>
      </c>
      <c r="AJ61" s="38">
        <f t="shared" si="14"/>
        <v>2</v>
      </c>
      <c r="AN61" s="39">
        <f t="shared" si="6"/>
        <v>0</v>
      </c>
      <c r="AO61" s="39">
        <f t="shared" si="7"/>
        <v>0</v>
      </c>
      <c r="AP61" s="39">
        <f t="shared" si="8"/>
        <v>0</v>
      </c>
      <c r="AQ61" s="39">
        <f t="shared" si="9"/>
        <v>0</v>
      </c>
    </row>
  </sheetData>
  <mergeCells count="6">
    <mergeCell ref="I9:I10"/>
    <mergeCell ref="E8:H8"/>
    <mergeCell ref="A9:A10"/>
    <mergeCell ref="B9:B10"/>
    <mergeCell ref="C9:C10"/>
    <mergeCell ref="D9:D10"/>
  </mergeCells>
  <conditionalFormatting sqref="E11:H20 E22:H61">
    <cfRule type="expression" dxfId="5" priority="4" stopIfTrue="1">
      <formula>AND($B11&lt;&gt;"",AG11=1)</formula>
    </cfRule>
    <cfRule type="expression" dxfId="4" priority="5" stopIfTrue="1">
      <formula>AND($B11&lt;&gt;"",AG11=2)</formula>
    </cfRule>
    <cfRule type="expression" dxfId="3" priority="6" stopIfTrue="1">
      <formula>AND($B11&lt;&gt;"",AG11=3)</formula>
    </cfRule>
  </conditionalFormatting>
  <conditionalFormatting sqref="E21:H21">
    <cfRule type="expression" dxfId="2" priority="1" stopIfTrue="1">
      <formula>AND($B21&lt;&gt;"",AG21=1)</formula>
    </cfRule>
    <cfRule type="expression" dxfId="1" priority="2" stopIfTrue="1">
      <formula>AND($B21&lt;&gt;"",AG21=2)</formula>
    </cfRule>
    <cfRule type="expression" dxfId="0" priority="3" stopIfTrue="1">
      <formula>AND($B21&lt;&gt;"",AG21=3)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Input-Variablen</vt:lpstr>
      <vt:lpstr>DF_BuildingTypeMatrix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Loga</dc:creator>
  <cp:lastModifiedBy>Tobias Loga</cp:lastModifiedBy>
  <dcterms:created xsi:type="dcterms:W3CDTF">2015-06-05T18:19:34Z</dcterms:created>
  <dcterms:modified xsi:type="dcterms:W3CDTF">2025-06-27T15:46:47Z</dcterms:modified>
</cp:coreProperties>
</file>